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brutos" sheetId="1" state="visible" r:id="rId3"/>
    <sheet name="Dados tratados" sheetId="2" state="visible" r:id="rId4"/>
    <sheet name="Análises" sheetId="3" state="visible" r:id="rId5"/>
  </sheets>
  <definedNames>
    <definedName function="false" hidden="true" localSheetId="1" name="_xlnm._FilterDatabase" vbProcedure="false">'Dados tratados'!$A$1:$Q$59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<sst xmlns="http://schemas.openxmlformats.org/spreadsheetml/2006/main" count="223" uniqueCount="208">
  <si>
    <t xml:space="preserve">Preço Médio - São Luís</t>
  </si>
  <si>
    <t xml:space="preserve">Total da Cesta</t>
  </si>
  <si>
    <t xml:space="preserve">Carne</t>
  </si>
  <si>
    <t xml:space="preserve">Leite</t>
  </si>
  <si>
    <t xml:space="preserve">Feijão</t>
  </si>
  <si>
    <t xml:space="preserve">Arroz</t>
  </si>
  <si>
    <t xml:space="preserve">Farinha</t>
  </si>
  <si>
    <t xml:space="preserve">Batata</t>
  </si>
  <si>
    <t xml:space="preserve">Tomate</t>
  </si>
  <si>
    <t xml:space="preserve">Pão</t>
  </si>
  <si>
    <t xml:space="preserve">Café</t>
  </si>
  <si>
    <t xml:space="preserve">Banana</t>
  </si>
  <si>
    <t xml:space="preserve">Açúcar</t>
  </si>
  <si>
    <t xml:space="preserve">Óleo</t>
  </si>
  <si>
    <t xml:space="preserve">Manteiga</t>
  </si>
  <si>
    <t xml:space="preserve">01-2016</t>
  </si>
  <si>
    <t xml:space="preserve">02-2016</t>
  </si>
  <si>
    <t xml:space="preserve">03-2016</t>
  </si>
  <si>
    <t xml:space="preserve">04-2016</t>
  </si>
  <si>
    <t xml:space="preserve">05-2016</t>
  </si>
  <si>
    <t xml:space="preserve">06-2016</t>
  </si>
  <si>
    <t xml:space="preserve">07-2016</t>
  </si>
  <si>
    <t xml:space="preserve">08-2016</t>
  </si>
  <si>
    <t xml:space="preserve">09-2016</t>
  </si>
  <si>
    <t xml:space="preserve">10-2016</t>
  </si>
  <si>
    <t xml:space="preserve">11-2016</t>
  </si>
  <si>
    <t xml:space="preserve">12-2016</t>
  </si>
  <si>
    <t xml:space="preserve">01-2017</t>
  </si>
  <si>
    <t xml:space="preserve">02-2017</t>
  </si>
  <si>
    <t xml:space="preserve">03-2017</t>
  </si>
  <si>
    <t xml:space="preserve">04-2017</t>
  </si>
  <si>
    <t xml:space="preserve">05-2017</t>
  </si>
  <si>
    <t xml:space="preserve">06-2017</t>
  </si>
  <si>
    <t xml:space="preserve">07-2017</t>
  </si>
  <si>
    <t xml:space="preserve">08-2017</t>
  </si>
  <si>
    <t xml:space="preserve">09-2017</t>
  </si>
  <si>
    <t xml:space="preserve">10-2017</t>
  </si>
  <si>
    <t xml:space="preserve">11-2017</t>
  </si>
  <si>
    <t xml:space="preserve">12-2017</t>
  </si>
  <si>
    <t xml:space="preserve">01-2018</t>
  </si>
  <si>
    <t xml:space="preserve">02-2018</t>
  </si>
  <si>
    <t xml:space="preserve">03-2018</t>
  </si>
  <si>
    <t xml:space="preserve">04-2018</t>
  </si>
  <si>
    <t xml:space="preserve">05-2018</t>
  </si>
  <si>
    <t xml:space="preserve">06-2018</t>
  </si>
  <si>
    <t xml:space="preserve">07-2018</t>
  </si>
  <si>
    <t xml:space="preserve">08-2018</t>
  </si>
  <si>
    <t xml:space="preserve">09-2018</t>
  </si>
  <si>
    <t xml:space="preserve">10-2018</t>
  </si>
  <si>
    <t xml:space="preserve">11-2018</t>
  </si>
  <si>
    <t xml:space="preserve">12-2018</t>
  </si>
  <si>
    <t xml:space="preserve">01-2019</t>
  </si>
  <si>
    <t xml:space="preserve">02-2019</t>
  </si>
  <si>
    <t xml:space="preserve">03-2019</t>
  </si>
  <si>
    <t xml:space="preserve">04-2019</t>
  </si>
  <si>
    <t xml:space="preserve">05-2019</t>
  </si>
  <si>
    <t xml:space="preserve">06-2019</t>
  </si>
  <si>
    <t xml:space="preserve">07-2019</t>
  </si>
  <si>
    <t xml:space="preserve">08-2019</t>
  </si>
  <si>
    <t xml:space="preserve">09-2019</t>
  </si>
  <si>
    <t xml:space="preserve">10-2019</t>
  </si>
  <si>
    <t xml:space="preserve">11-2019</t>
  </si>
  <si>
    <t xml:space="preserve">12-2019</t>
  </si>
  <si>
    <t xml:space="preserve">01-2020</t>
  </si>
  <si>
    <t xml:space="preserve">02-2020</t>
  </si>
  <si>
    <t xml:space="preserve">03-2020</t>
  </si>
  <si>
    <t xml:space="preserve">04-2020</t>
  </si>
  <si>
    <t xml:space="preserve">05-2020</t>
  </si>
  <si>
    <t xml:space="preserve">06-2020</t>
  </si>
  <si>
    <t xml:space="preserve">07-2020</t>
  </si>
  <si>
    <t xml:space="preserve">08-2020</t>
  </si>
  <si>
    <t xml:space="preserve">09-2020</t>
  </si>
  <si>
    <t xml:space="preserve">10-2020</t>
  </si>
  <si>
    <t xml:space="preserve">11-2020</t>
  </si>
  <si>
    <t xml:space="preserve">12-2020</t>
  </si>
  <si>
    <t xml:space="preserve">01-2021</t>
  </si>
  <si>
    <t xml:space="preserve">02-2021</t>
  </si>
  <si>
    <t xml:space="preserve">03-2021</t>
  </si>
  <si>
    <t xml:space="preserve">04-2021</t>
  </si>
  <si>
    <t xml:space="preserve">05-2021</t>
  </si>
  <si>
    <t xml:space="preserve">06-2021</t>
  </si>
  <si>
    <t xml:space="preserve">07-2021</t>
  </si>
  <si>
    <t xml:space="preserve">08-2021</t>
  </si>
  <si>
    <t xml:space="preserve">09-2021</t>
  </si>
  <si>
    <t xml:space="preserve">10-2021</t>
  </si>
  <si>
    <t xml:space="preserve">11-2021</t>
  </si>
  <si>
    <t xml:space="preserve">12-2021</t>
  </si>
  <si>
    <t xml:space="preserve">01-2022</t>
  </si>
  <si>
    <t xml:space="preserve">02-2022</t>
  </si>
  <si>
    <t xml:space="preserve">03-2022</t>
  </si>
  <si>
    <t xml:space="preserve">04-2022</t>
  </si>
  <si>
    <t xml:space="preserve">05-2022</t>
  </si>
  <si>
    <t xml:space="preserve">06-2022</t>
  </si>
  <si>
    <t xml:space="preserve">07-2022</t>
  </si>
  <si>
    <t xml:space="preserve">08-2022</t>
  </si>
  <si>
    <t xml:space="preserve">09-2022</t>
  </si>
  <si>
    <t xml:space="preserve">10-2022</t>
  </si>
  <si>
    <t xml:space="preserve">11-2022</t>
  </si>
  <si>
    <t xml:space="preserve">12-2022</t>
  </si>
  <si>
    <t xml:space="preserve">01-2023</t>
  </si>
  <si>
    <t xml:space="preserve">02-2023</t>
  </si>
  <si>
    <t xml:space="preserve">03-2023</t>
  </si>
  <si>
    <t xml:space="preserve">04-2023</t>
  </si>
  <si>
    <t xml:space="preserve">05-2023</t>
  </si>
  <si>
    <t xml:space="preserve">06-2023</t>
  </si>
  <si>
    <t xml:space="preserve">07-2023</t>
  </si>
  <si>
    <t xml:space="preserve">08-2023</t>
  </si>
  <si>
    <t xml:space="preserve">09-2023</t>
  </si>
  <si>
    <t xml:space="preserve">10-2023</t>
  </si>
  <si>
    <t xml:space="preserve">11-2023</t>
  </si>
  <si>
    <t xml:space="preserve">12-2023</t>
  </si>
  <si>
    <t xml:space="preserve">01-2024</t>
  </si>
  <si>
    <t xml:space="preserve">02-2024</t>
  </si>
  <si>
    <t xml:space="preserve">03-2024</t>
  </si>
  <si>
    <t xml:space="preserve">04-2024</t>
  </si>
  <si>
    <t xml:space="preserve">05-2024</t>
  </si>
  <si>
    <t xml:space="preserve">06-2024</t>
  </si>
  <si>
    <t xml:space="preserve">07-2024</t>
  </si>
  <si>
    <t xml:space="preserve">08-2024</t>
  </si>
  <si>
    <t xml:space="preserve">09-2024</t>
  </si>
  <si>
    <t xml:space="preserve">10-2024</t>
  </si>
  <si>
    <t xml:space="preserve">11-2024</t>
  </si>
  <si>
    <t xml:space="preserve">12-2024</t>
  </si>
  <si>
    <t xml:space="preserve">01-2025</t>
  </si>
  <si>
    <t xml:space="preserve">02-2025</t>
  </si>
  <si>
    <t xml:space="preserve">03-2025</t>
  </si>
  <si>
    <t xml:space="preserve">04-2025</t>
  </si>
  <si>
    <t xml:space="preserve">05-2025</t>
  </si>
  <si>
    <t xml:space="preserve">06-2025</t>
  </si>
  <si>
    <t xml:space="preserve">07-2025</t>
  </si>
  <si>
    <t xml:space="preserve">08-2025</t>
  </si>
  <si>
    <t xml:space="preserve">09-2025</t>
  </si>
  <si>
    <t xml:space="preserve">10-2025</t>
  </si>
  <si>
    <t xml:space="preserve">11-2025</t>
  </si>
  <si>
    <t xml:space="preserve">12-2025</t>
  </si>
  <si>
    <t xml:space="preserve">01-2026</t>
  </si>
  <si>
    <t xml:space="preserve">02-2026</t>
  </si>
  <si>
    <t xml:space="preserve">03-2026</t>
  </si>
  <si>
    <t xml:space="preserve">04-2026</t>
  </si>
  <si>
    <t xml:space="preserve">05-2026</t>
  </si>
  <si>
    <t xml:space="preserve">06-2026</t>
  </si>
  <si>
    <t xml:space="preserve">07-2026</t>
  </si>
  <si>
    <t xml:space="preserve">08-2026</t>
  </si>
  <si>
    <t xml:space="preserve">09-2026</t>
  </si>
  <si>
    <t xml:space="preserve">Fonte: DIEESE</t>
  </si>
  <si>
    <t xml:space="preserve">Nota: Farinha de mandioca no norte/nordeste e de trigo nas demais regiões</t>
  </si>
  <si>
    <t xml:space="preserve">Tomada especial de preços a partir de abril de 2020</t>
  </si>
  <si>
    <t xml:space="preserve">Mês</t>
  </si>
  <si>
    <t xml:space="preserve">Ano</t>
  </si>
  <si>
    <t xml:space="preserve">Carne (R$/kg)</t>
  </si>
  <si>
    <t xml:space="preserve">Leite (R$/litro)</t>
  </si>
  <si>
    <t xml:space="preserve">Feijão (R$/kg)</t>
  </si>
  <si>
    <t xml:space="preserve">Arroz (R$/kg)</t>
  </si>
  <si>
    <t xml:space="preserve">Farinha de mandioca (R$/kg)</t>
  </si>
  <si>
    <t xml:space="preserve">Tomate (R$/kg)</t>
  </si>
  <si>
    <t xml:space="preserve">Pão francês (R$/kg)</t>
  </si>
  <si>
    <t xml:space="preserve">Café em pó (R$/kg)</t>
  </si>
  <si>
    <t xml:space="preserve">Banana (R$/dúzia)</t>
  </si>
  <si>
    <t xml:space="preserve">Açúcar (R$/kg)</t>
  </si>
  <si>
    <t xml:space="preserve">Óleo de soja (R$/900 ml)</t>
  </si>
  <si>
    <t xml:space="preserve">Manteiga (R$/kg)</t>
  </si>
  <si>
    <t xml:space="preserve">Custo da cesta (R$)</t>
  </si>
  <si>
    <t xml:space="preserve">Salário mínimo (R$)</t>
  </si>
  <si>
    <t xml:space="preserve">% do salário mínimo</t>
  </si>
  <si>
    <t xml:space="preserve">Cesta básica em São Luís: 10 anos (2016–2026)</t>
  </si>
  <si>
    <t xml:space="preserve">Fonte: DIEESE, Pesquisa Nacional da Cesta Básica de Alimentos (preço médio, São Luís).</t>
  </si>
  <si>
    <t xml:space="preserve">Resumo da base</t>
  </si>
  <si>
    <t xml:space="preserve">Salário mínimo por ano</t>
  </si>
  <si>
    <t xml:space="preserve">Meses no arquivo do DIEESE</t>
  </si>
  <si>
    <t xml:space="preserve">Meses sem nenhum dado (removidos)</t>
  </si>
  <si>
    <t xml:space="preserve">mai/2019 a mar/2025</t>
  </si>
  <si>
    <t xml:space="preserve">Meses com dados (base tratada)</t>
  </si>
  <si>
    <t xml:space="preserve">Primeiro mês</t>
  </si>
  <si>
    <t xml:space="preserve">Último mês</t>
  </si>
  <si>
    <t xml:space="preserve">1. Quanto a cesta subiu em 10 anos?</t>
  </si>
  <si>
    <t xml:space="preserve">Indicador</t>
  </si>
  <si>
    <t xml:space="preserve">Variação</t>
  </si>
  <si>
    <t xml:space="preserve">Fonte: decretos do salário mínimo de cada ano.</t>
  </si>
  <si>
    <t xml:space="preserve">A cesta subiu mais que o salário?</t>
  </si>
  <si>
    <t xml:space="preserve">2. Como foi cada ano?</t>
  </si>
  <si>
    <t xml:space="preserve">Meses com dados</t>
  </si>
  <si>
    <t xml:space="preserve">Custo médio (R$)</t>
  </si>
  <si>
    <t xml:space="preserve">% médio do salário</t>
  </si>
  <si>
    <t xml:space="preserve">Meses acima de 40% do salário</t>
  </si>
  <si>
    <t xml:space="preserve">Destaque</t>
  </si>
  <si>
    <t xml:space="preserve">Total</t>
  </si>
  <si>
    <t xml:space="preserve">2019 tem só jan–abr e 2025 só abr–dez: o arquivo do DIEESE não tem dados de São Luís de mai/2019 a mar/2025.</t>
  </si>
  <si>
    <t xml:space="preserve">3. Qual alimento mais encareceu em 10 anos?</t>
  </si>
  <si>
    <t xml:space="preserve">Alimento</t>
  </si>
  <si>
    <t xml:space="preserve">Preço no primeiro mês (R$)</t>
  </si>
  <si>
    <t xml:space="preserve">Preço no último mês (R$)</t>
  </si>
  <si>
    <t xml:space="preserve">Comparado ao salário</t>
  </si>
  <si>
    <t xml:space="preserve">Café em pó</t>
  </si>
  <si>
    <t xml:space="preserve">Pão francês</t>
  </si>
  <si>
    <t xml:space="preserve">Óleo de soja</t>
  </si>
  <si>
    <t xml:space="preserve">Farinha de mandioca</t>
  </si>
  <si>
    <t xml:space="preserve">Carne bovina</t>
  </si>
  <si>
    <t xml:space="preserve">Leite integral</t>
  </si>
  <si>
    <t xml:space="preserve">Arroz agulhinha</t>
  </si>
  <si>
    <t xml:space="preserve">Feijão carioca</t>
  </si>
  <si>
    <t xml:space="preserve">Açúcar cristal</t>
  </si>
  <si>
    <t xml:space="preserve">4. Quando a cesta foi mais cara e quando pesou mais no salário?</t>
  </si>
  <si>
    <t xml:space="preserve">Valor</t>
  </si>
  <si>
    <t xml:space="preserve">Cesta mais cara (R$)</t>
  </si>
  <si>
    <t xml:space="preserve">Cesta mais barata (R$)</t>
  </si>
  <si>
    <t xml:space="preserve">Maior peso no salário</t>
  </si>
  <si>
    <t xml:space="preserve">Menor peso no salário</t>
  </si>
  <si>
    <t xml:space="preserve">Custo médio em todos os meses (R$)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</si>
</sst>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mmm/yyyy"/>
    <numFmt numFmtId="167" formatCode="General"/>
    <numFmt numFmtId="168" formatCode="#,##0.00"/>
    <numFmt numFmtId="169" formatCode="0.0%"/>
    <numFmt numFmtId="170" formatCode="0"/>
    <numFmt numFmtId="171" formatCode="\+0.0%"/>
    <numFmt numFmtId="172" formatCode="\+0.0&quot; p.p.&quot;;\-0.0&quot; p.p.&quot;"/>
    <numFmt numFmtId="173" formatCode="\+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783F04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color rgb="FF99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34343"/>
        <bgColor rgb="FF274E13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5">
    <dxf>
      <fill>
        <patternFill patternType="solid">
          <fgColor rgb="FF43434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6B26B"/>
          <bgColor rgb="FF000000"/>
        </patternFill>
      </fill>
    </dxf>
    <dxf>
      <fill>
        <patternFill patternType="solid">
          <fgColor rgb="FFF7B774"/>
          <bgColor rgb="FF000000"/>
        </patternFill>
      </fill>
    </dxf>
    <dxf>
      <fill>
        <patternFill patternType="solid">
          <fgColor rgb="FFF7B876"/>
          <bgColor rgb="FF000000"/>
        </patternFill>
      </fill>
    </dxf>
    <dxf>
      <fill>
        <patternFill patternType="solid">
          <fgColor rgb="FFF7B877"/>
          <bgColor rgb="FF000000"/>
        </patternFill>
      </fill>
    </dxf>
    <dxf>
      <fill>
        <patternFill patternType="solid">
          <fgColor rgb="FFF7B978"/>
          <bgColor rgb="FF000000"/>
        </patternFill>
      </fill>
    </dxf>
    <dxf>
      <fill>
        <patternFill patternType="solid">
          <fgColor rgb="FFF7BA7A"/>
          <bgColor rgb="FF000000"/>
        </patternFill>
      </fill>
    </dxf>
    <dxf>
      <fill>
        <patternFill patternType="solid">
          <fgColor rgb="FFF7BA7B"/>
          <bgColor rgb="FF000000"/>
        </patternFill>
      </fill>
    </dxf>
    <dxf>
      <fill>
        <patternFill patternType="solid">
          <fgColor rgb="FFF8BB7C"/>
          <bgColor rgb="FF000000"/>
        </patternFill>
      </fill>
    </dxf>
    <dxf>
      <fill>
        <patternFill patternType="solid">
          <fgColor rgb="FFF8BD7F"/>
          <bgColor rgb="FF000000"/>
        </patternFill>
      </fill>
    </dxf>
    <dxf>
      <fill>
        <patternFill patternType="solid">
          <fgColor rgb="FFF8BE81"/>
          <bgColor rgb="FF000000"/>
        </patternFill>
      </fill>
    </dxf>
    <dxf>
      <fill>
        <patternFill patternType="solid">
          <fgColor rgb="FFF8BF83"/>
          <bgColor rgb="FF000000"/>
        </patternFill>
      </fill>
    </dxf>
    <dxf>
      <fill>
        <patternFill patternType="solid">
          <fgColor rgb="FFF8C085"/>
          <bgColor rgb="FF000000"/>
        </patternFill>
      </fill>
    </dxf>
    <dxf>
      <fill>
        <patternFill patternType="solid">
          <fgColor rgb="FFF8C086"/>
          <bgColor rgb="FF000000"/>
        </patternFill>
      </fill>
    </dxf>
    <dxf>
      <fill>
        <patternFill patternType="solid">
          <fgColor rgb="FFF8C186"/>
          <bgColor rgb="FF000000"/>
        </patternFill>
      </fill>
    </dxf>
    <dxf>
      <fill>
        <patternFill patternType="solid">
          <fgColor rgb="FFF8C187"/>
          <bgColor rgb="FF000000"/>
        </patternFill>
      </fill>
    </dxf>
    <dxf>
      <fill>
        <patternFill patternType="solid">
          <fgColor rgb="FFFDEBD8"/>
          <bgColor rgb="FF000000"/>
        </patternFill>
      </fill>
    </dxf>
    <dxf>
      <fill>
        <patternFill patternType="solid">
          <fgColor rgb="FFFEF1E3"/>
          <bgColor rgb="FF000000"/>
        </patternFill>
      </fill>
    </dxf>
    <dxf>
      <fill>
        <patternFill patternType="solid">
          <fgColor rgb="FFFEF2E6"/>
          <bgColor rgb="FF000000"/>
        </patternFill>
      </fill>
    </dxf>
    <dxf>
      <fill>
        <patternFill patternType="solid">
          <fgColor rgb="FFFEF3E7"/>
          <bgColor rgb="FF000000"/>
        </patternFill>
      </fill>
    </dxf>
    <dxf>
      <fill>
        <patternFill patternType="solid">
          <fgColor rgb="FFFEF3E8"/>
          <bgColor rgb="FF000000"/>
        </patternFill>
      </fill>
    </dxf>
    <dxf>
      <fill>
        <patternFill patternType="solid">
          <fgColor rgb="FFFEF6EC"/>
          <bgColor rgb="FF000000"/>
        </patternFill>
      </fill>
    </dxf>
    <dxf>
      <fill>
        <patternFill patternType="solid">
          <fgColor rgb="FFFEF6EE"/>
          <bgColor rgb="FF000000"/>
        </patternFill>
      </fill>
    </dxf>
    <dxf>
      <fill>
        <patternFill patternType="solid">
          <fgColor rgb="FFFEF7EF"/>
          <bgColor rgb="FF000000"/>
        </patternFill>
      </fill>
    </dxf>
    <dxf>
      <fill>
        <patternFill patternType="solid">
          <fgColor rgb="FFFFF7EF"/>
          <bgColor rgb="FF000000"/>
        </patternFill>
      </fill>
    </dxf>
    <dxf>
      <fill>
        <patternFill patternType="solid">
          <fgColor rgb="FFFFF8F1"/>
          <bgColor rgb="FF000000"/>
        </patternFill>
      </fill>
    </dxf>
    <dxf>
      <fill>
        <patternFill patternType="solid">
          <fgColor rgb="FFFFF8F2"/>
          <bgColor rgb="FF000000"/>
        </patternFill>
      </fill>
    </dxf>
    <dxf>
      <fill>
        <patternFill patternType="solid">
          <fgColor rgb="FFFFF9F2"/>
          <bgColor rgb="FF000000"/>
        </patternFill>
      </fill>
    </dxf>
    <dxf>
      <fill>
        <patternFill patternType="solid">
          <fgColor rgb="FFFFF9F3"/>
          <bgColor rgb="FF000000"/>
        </patternFill>
      </fill>
    </dxf>
    <dxf>
      <fill>
        <patternFill patternType="solid">
          <fgColor rgb="FFFFF9F4"/>
          <bgColor rgb="FF000000"/>
        </patternFill>
      </fill>
    </dxf>
    <dxf>
      <fill>
        <patternFill patternType="solid">
          <fgColor rgb="FFFFFAF4"/>
          <bgColor rgb="FF000000"/>
        </patternFill>
      </fill>
    </dxf>
    <dxf>
      <fill>
        <patternFill patternType="solid">
          <fgColor rgb="FFFFFAF5"/>
          <bgColor rgb="FF000000"/>
        </patternFill>
      </fill>
    </dxf>
    <dxf>
      <fill>
        <patternFill patternType="solid">
          <fgColor rgb="FFFFFBF7"/>
          <bgColor rgb="FF000000"/>
        </patternFill>
      </fill>
    </dxf>
    <dxf>
      <fill>
        <patternFill patternType="solid">
          <fgColor rgb="FFFFFDFA"/>
          <bgColor rgb="FF000000"/>
        </patternFill>
      </fill>
    </dxf>
    <dxf>
      <fill>
        <patternFill patternType="solid">
          <fgColor rgb="FFFFFDFB"/>
          <bgColor rgb="FF000000"/>
        </patternFill>
      </fill>
    </dxf>
    <dxf>
      <fill>
        <patternFill patternType="solid">
          <fgColor rgb="FFFFFEFC"/>
          <bgColor rgb="FF000000"/>
        </patternFill>
      </fill>
    </dxf>
    <dxf>
      <fill>
        <patternFill patternType="solid">
          <fgColor rgb="FFFFFEFD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990000"/>
          <bgColor rgb="FF000000"/>
        </patternFill>
      </fill>
    </dxf>
    <dxf>
      <font>
        <b val="1"/>
        <color rgb="FF990000"/>
      </font>
      <fill>
        <patternFill>
          <bgColor rgb="FFF4CCCC"/>
        </patternFill>
      </fill>
    </dxf>
    <dxf>
      <font>
        <b val="1"/>
        <color rgb="FF990000"/>
      </font>
    </dxf>
    <dxf>
      <font>
        <color rgb="FF274E13"/>
      </font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990000"/>
      <rgbColor rgb="FF38761D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F4CCCC"/>
      <rgbColor rgb="FF3D85C6"/>
      <rgbColor rgb="FF33CCCC"/>
      <rgbColor rgb="FF99CC00"/>
      <rgbColor rgb="FFFFCC00"/>
      <rgbColor rgb="FFE69138"/>
      <rgbColor rgb="FFFF6600"/>
      <rgbColor rgb="FF666666"/>
      <rgbColor rgb="FF969696"/>
      <rgbColor rgb="FF003366"/>
      <rgbColor rgb="FF339966"/>
      <rgbColor rgb="FF003300"/>
      <rgbColor rgb="FF274E13"/>
      <rgbColor rgb="FF783F04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 médio da cesta por ano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e69138"/>
            </a:solidFill>
            <a:ln w="0">
              <a:solidFill>
                <a:srgbClr val="e6913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Análises!$B$22:$B$27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Análises!$D$22:$D$27</c:f>
              <c:numCache>
                <c:formatCode>#,##0.00</c:formatCode>
                <c:ptCount val="6"/>
                <c:pt idx="0">
                  <c:v>368.0425</c:v>
                </c:pt>
                <c:pt idx="1">
                  <c:v>352.63</c:v>
                </c:pt>
                <c:pt idx="2">
                  <c:v>345.905</c:v>
                </c:pt>
                <c:pt idx="3">
                  <c:v>385.4775</c:v>
                </c:pt>
                <c:pt idx="4">
                  <c:v>647.475555555556</c:v>
                </c:pt>
                <c:pt idx="5">
                  <c:v>649.63</c:v>
                </c:pt>
              </c:numCache>
            </c:numRef>
          </c:val>
        </c:ser>
        <c:gapWidth val="60"/>
        <c:overlap val="0"/>
        <c:axId val="13727262"/>
        <c:axId val="25218761"/>
      </c:barChart>
      <c:catAx>
        <c:axId val="137272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18761"/>
        <c:crosses val="autoZero"/>
        <c:auto val="1"/>
        <c:lblAlgn val="ctr"/>
        <c:lblOffset val="100"/>
        <c:noMultiLvlLbl val="0"/>
      </c:catAx>
      <c:valAx>
        <c:axId val="252187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272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14</xdr:row>
      <xdr:rowOff>130680</xdr:rowOff>
    </xdr:from>
    <xdr:to>
      <xdr:col>15</xdr:col>
      <xdr:colOff>361080</xdr:colOff>
      <xdr:row>27</xdr:row>
      <xdr:rowOff>144360</xdr:rowOff>
    </xdr:to>
    <xdr:graphicFrame>
      <xdr:nvGraphicFramePr>
        <xdr:cNvPr id="0" name="Chart 1"/>
        <xdr:cNvGraphicFramePr/>
      </xdr:nvGraphicFramePr>
      <xdr:xfrm>
        <a:off x="9092520" y="31050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pageSetUpPr fitToPage="false"/>
  </sheetPr>
  <dimension ref="A1:O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3.85" hidden="false" customHeight="false" outlineLevel="0" collapsed="false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customFormat="false" ht="15" hidden="false" customHeight="false" outlineLevel="0" collapsed="false">
      <c r="A3" s="3" t="s">
        <v>15</v>
      </c>
      <c r="B3" s="4" t="n">
        <v>351.17</v>
      </c>
      <c r="C3" s="4" t="n">
        <v>20.84</v>
      </c>
      <c r="D3" s="4" t="n">
        <v>3.34</v>
      </c>
      <c r="E3" s="4" t="n">
        <v>5.59</v>
      </c>
      <c r="F3" s="4" t="n">
        <v>3.02</v>
      </c>
      <c r="G3" s="4" t="n">
        <v>3.81</v>
      </c>
      <c r="H3" s="3"/>
      <c r="I3" s="4" t="n">
        <v>6.28</v>
      </c>
      <c r="J3" s="4" t="n">
        <v>7.79</v>
      </c>
      <c r="K3" s="4" t="n">
        <v>16.32</v>
      </c>
      <c r="L3" s="4" t="n">
        <v>4.38</v>
      </c>
      <c r="M3" s="4" t="n">
        <v>2.99</v>
      </c>
      <c r="N3" s="4" t="n">
        <v>3.71</v>
      </c>
      <c r="O3" s="4" t="n">
        <v>23.15</v>
      </c>
    </row>
    <row r="4" customFormat="false" ht="15" hidden="false" customHeight="false" outlineLevel="0" collapsed="false">
      <c r="A4" s="3" t="s">
        <v>16</v>
      </c>
      <c r="B4" s="4" t="n">
        <v>355.29</v>
      </c>
      <c r="C4" s="4" t="n">
        <v>20.99</v>
      </c>
      <c r="D4" s="4" t="n">
        <v>3.38</v>
      </c>
      <c r="E4" s="4" t="n">
        <v>5.85</v>
      </c>
      <c r="F4" s="4" t="n">
        <v>3.12</v>
      </c>
      <c r="G4" s="4" t="n">
        <v>4.03</v>
      </c>
      <c r="H4" s="3"/>
      <c r="I4" s="4" t="n">
        <v>5.94</v>
      </c>
      <c r="J4" s="4" t="n">
        <v>7.65</v>
      </c>
      <c r="K4" s="4" t="n">
        <v>16.74</v>
      </c>
      <c r="L4" s="4" t="n">
        <v>4.92</v>
      </c>
      <c r="M4" s="4" t="n">
        <v>3.24</v>
      </c>
      <c r="N4" s="4" t="n">
        <v>3.93</v>
      </c>
      <c r="O4" s="4" t="n">
        <v>24.2</v>
      </c>
    </row>
    <row r="5" customFormat="false" ht="15" hidden="false" customHeight="false" outlineLevel="0" collapsed="false">
      <c r="A5" s="3" t="s">
        <v>17</v>
      </c>
      <c r="B5" s="4" t="n">
        <v>356.56</v>
      </c>
      <c r="C5" s="4" t="n">
        <v>21.03</v>
      </c>
      <c r="D5" s="4" t="n">
        <v>3.49</v>
      </c>
      <c r="E5" s="4" t="n">
        <v>6.2</v>
      </c>
      <c r="F5" s="4" t="n">
        <v>3.08</v>
      </c>
      <c r="G5" s="4" t="n">
        <v>4.5</v>
      </c>
      <c r="H5" s="3"/>
      <c r="I5" s="4" t="n">
        <v>5.2</v>
      </c>
      <c r="J5" s="4" t="n">
        <v>7.65</v>
      </c>
      <c r="K5" s="4" t="n">
        <v>16.75</v>
      </c>
      <c r="L5" s="4" t="n">
        <v>5.51</v>
      </c>
      <c r="M5" s="4" t="n">
        <v>3.3</v>
      </c>
      <c r="N5" s="4" t="n">
        <v>4.05</v>
      </c>
      <c r="O5" s="4" t="n">
        <v>26.5</v>
      </c>
    </row>
    <row r="6" customFormat="false" ht="15" hidden="false" customHeight="false" outlineLevel="0" collapsed="false">
      <c r="A6" s="3" t="s">
        <v>18</v>
      </c>
      <c r="B6" s="4" t="n">
        <v>357.11</v>
      </c>
      <c r="C6" s="4" t="n">
        <v>21.05</v>
      </c>
      <c r="D6" s="4" t="n">
        <v>3.61</v>
      </c>
      <c r="E6" s="4" t="n">
        <v>6.45</v>
      </c>
      <c r="F6" s="4" t="n">
        <v>3.06</v>
      </c>
      <c r="G6" s="4" t="n">
        <v>4.91</v>
      </c>
      <c r="H6" s="3"/>
      <c r="I6" s="4" t="n">
        <v>4.5</v>
      </c>
      <c r="J6" s="4" t="n">
        <v>7.7</v>
      </c>
      <c r="K6" s="4" t="n">
        <v>17.15</v>
      </c>
      <c r="L6" s="4" t="n">
        <v>5.97</v>
      </c>
      <c r="M6" s="4" t="n">
        <v>3.37</v>
      </c>
      <c r="N6" s="4" t="n">
        <v>4.05</v>
      </c>
      <c r="O6" s="4" t="n">
        <v>28.87</v>
      </c>
    </row>
    <row r="7" customFormat="false" ht="15" hidden="false" customHeight="false" outlineLevel="0" collapsed="false">
      <c r="A7" s="3" t="s">
        <v>19</v>
      </c>
      <c r="B7" s="4" t="n">
        <v>360.12</v>
      </c>
      <c r="C7" s="4" t="n">
        <v>21</v>
      </c>
      <c r="D7" s="4" t="n">
        <v>3.62</v>
      </c>
      <c r="E7" s="4" t="n">
        <v>6.86</v>
      </c>
      <c r="F7" s="4" t="n">
        <v>3.11</v>
      </c>
      <c r="G7" s="4" t="n">
        <v>5.07</v>
      </c>
      <c r="H7" s="3"/>
      <c r="I7" s="4" t="n">
        <v>4.23</v>
      </c>
      <c r="J7" s="4" t="n">
        <v>8.02</v>
      </c>
      <c r="K7" s="4" t="n">
        <v>17.92</v>
      </c>
      <c r="L7" s="4" t="n">
        <v>5.96</v>
      </c>
      <c r="M7" s="4" t="n">
        <v>3.28</v>
      </c>
      <c r="N7" s="4" t="n">
        <v>4.04</v>
      </c>
      <c r="O7" s="4" t="n">
        <v>31.7</v>
      </c>
    </row>
    <row r="8" customFormat="false" ht="15" hidden="false" customHeight="false" outlineLevel="0" collapsed="false">
      <c r="A8" s="3" t="s">
        <v>20</v>
      </c>
      <c r="B8" s="4" t="n">
        <v>368.49</v>
      </c>
      <c r="C8" s="4" t="n">
        <v>20.78</v>
      </c>
      <c r="D8" s="4" t="n">
        <v>3.91</v>
      </c>
      <c r="E8" s="4" t="n">
        <v>10.05</v>
      </c>
      <c r="F8" s="4" t="n">
        <v>3.13</v>
      </c>
      <c r="G8" s="4" t="n">
        <v>5.14</v>
      </c>
      <c r="H8" s="3"/>
      <c r="I8" s="4" t="n">
        <v>3.84</v>
      </c>
      <c r="J8" s="4" t="n">
        <v>7.94</v>
      </c>
      <c r="K8" s="4" t="n">
        <v>18.05</v>
      </c>
      <c r="L8" s="4" t="n">
        <v>5.61</v>
      </c>
      <c r="M8" s="4" t="n">
        <v>3.26</v>
      </c>
      <c r="N8" s="4" t="n">
        <v>3.92</v>
      </c>
      <c r="O8" s="4" t="n">
        <v>32.9</v>
      </c>
    </row>
    <row r="9" customFormat="false" ht="15" hidden="false" customHeight="false" outlineLevel="0" collapsed="false">
      <c r="A9" s="3" t="s">
        <v>21</v>
      </c>
      <c r="B9" s="4" t="n">
        <v>384.63</v>
      </c>
      <c r="C9" s="4" t="n">
        <v>20.48</v>
      </c>
      <c r="D9" s="4" t="n">
        <v>4.48</v>
      </c>
      <c r="E9" s="4" t="n">
        <v>12.68</v>
      </c>
      <c r="F9" s="4" t="n">
        <v>3.16</v>
      </c>
      <c r="G9" s="4" t="n">
        <v>5.1</v>
      </c>
      <c r="H9" s="3"/>
      <c r="I9" s="4" t="n">
        <v>3.98</v>
      </c>
      <c r="J9" s="4" t="n">
        <v>8.07</v>
      </c>
      <c r="K9" s="4" t="n">
        <v>18.55</v>
      </c>
      <c r="L9" s="4" t="n">
        <v>5.45</v>
      </c>
      <c r="M9" s="4" t="n">
        <v>3.28</v>
      </c>
      <c r="N9" s="4" t="n">
        <v>3.8</v>
      </c>
      <c r="O9" s="4" t="n">
        <v>34.11</v>
      </c>
    </row>
    <row r="10" customFormat="false" ht="15" hidden="false" customHeight="false" outlineLevel="0" collapsed="false">
      <c r="A10" s="3" t="s">
        <v>22</v>
      </c>
      <c r="B10" s="4" t="n">
        <v>386.2</v>
      </c>
      <c r="C10" s="4" t="n">
        <v>20.42</v>
      </c>
      <c r="D10" s="4" t="n">
        <v>4.6</v>
      </c>
      <c r="E10" s="4" t="n">
        <v>12.16</v>
      </c>
      <c r="F10" s="4" t="n">
        <v>3.3</v>
      </c>
      <c r="G10" s="4" t="n">
        <v>5.21</v>
      </c>
      <c r="H10" s="3"/>
      <c r="I10" s="4" t="n">
        <v>4.08</v>
      </c>
      <c r="J10" s="4" t="n">
        <v>8.07</v>
      </c>
      <c r="K10" s="4" t="n">
        <v>18.95</v>
      </c>
      <c r="L10" s="4" t="n">
        <v>5.56</v>
      </c>
      <c r="M10" s="4" t="n">
        <v>3.31</v>
      </c>
      <c r="N10" s="4" t="n">
        <v>3.68</v>
      </c>
      <c r="O10" s="4" t="n">
        <v>34.8</v>
      </c>
    </row>
    <row r="11" customFormat="false" ht="15" hidden="false" customHeight="false" outlineLevel="0" collapsed="false">
      <c r="A11" s="3" t="s">
        <v>23</v>
      </c>
      <c r="B11" s="4" t="n">
        <v>383.04</v>
      </c>
      <c r="C11" s="4" t="n">
        <v>20.23</v>
      </c>
      <c r="D11" s="4" t="n">
        <v>4.57</v>
      </c>
      <c r="E11" s="4" t="n">
        <v>11.64</v>
      </c>
      <c r="F11" s="4" t="n">
        <v>3.4</v>
      </c>
      <c r="G11" s="4" t="n">
        <v>5.29</v>
      </c>
      <c r="H11" s="3"/>
      <c r="I11" s="4" t="n">
        <v>3.99</v>
      </c>
      <c r="J11" s="4" t="n">
        <v>8.07</v>
      </c>
      <c r="K11" s="4" t="n">
        <v>19.69</v>
      </c>
      <c r="L11" s="4" t="n">
        <v>5.58</v>
      </c>
      <c r="M11" s="4" t="n">
        <v>3.27</v>
      </c>
      <c r="N11" s="4" t="n">
        <v>3.66</v>
      </c>
      <c r="O11" s="4" t="n">
        <v>35.41</v>
      </c>
    </row>
    <row r="12" customFormat="false" ht="15" hidden="false" customHeight="false" outlineLevel="0" collapsed="false">
      <c r="A12" s="3" t="s">
        <v>24</v>
      </c>
      <c r="B12" s="4" t="n">
        <v>386.41</v>
      </c>
      <c r="C12" s="4" t="n">
        <v>20.71</v>
      </c>
      <c r="D12" s="4" t="n">
        <v>4.48</v>
      </c>
      <c r="E12" s="4" t="n">
        <v>11.21</v>
      </c>
      <c r="F12" s="4" t="n">
        <v>3.48</v>
      </c>
      <c r="G12" s="4" t="n">
        <v>5.4</v>
      </c>
      <c r="H12" s="3"/>
      <c r="I12" s="4" t="n">
        <v>4.36</v>
      </c>
      <c r="J12" s="4" t="n">
        <v>8.07</v>
      </c>
      <c r="K12" s="4" t="n">
        <v>19.71</v>
      </c>
      <c r="L12" s="4" t="n">
        <v>5.37</v>
      </c>
      <c r="M12" s="4" t="n">
        <v>3.31</v>
      </c>
      <c r="N12" s="4" t="n">
        <v>3.66</v>
      </c>
      <c r="O12" s="4" t="n">
        <v>35.51</v>
      </c>
    </row>
    <row r="13" customFormat="false" ht="15" hidden="false" customHeight="false" outlineLevel="0" collapsed="false">
      <c r="A13" s="3" t="s">
        <v>25</v>
      </c>
      <c r="B13" s="4" t="n">
        <v>371.42</v>
      </c>
      <c r="C13" s="4" t="n">
        <v>20.81</v>
      </c>
      <c r="D13" s="4" t="n">
        <v>4.21</v>
      </c>
      <c r="E13" s="4" t="n">
        <v>9.6</v>
      </c>
      <c r="F13" s="4" t="n">
        <v>3.6</v>
      </c>
      <c r="G13" s="4" t="n">
        <v>5.68</v>
      </c>
      <c r="H13" s="3"/>
      <c r="I13" s="4" t="n">
        <v>3.84</v>
      </c>
      <c r="J13" s="4" t="n">
        <v>8.07</v>
      </c>
      <c r="K13" s="4" t="n">
        <v>19.95</v>
      </c>
      <c r="L13" s="4" t="n">
        <v>5.13</v>
      </c>
      <c r="M13" s="4" t="n">
        <v>3.6</v>
      </c>
      <c r="N13" s="4" t="n">
        <v>3.76</v>
      </c>
      <c r="O13" s="4" t="n">
        <v>34.37</v>
      </c>
    </row>
    <row r="14" customFormat="false" ht="15" hidden="false" customHeight="false" outlineLevel="0" collapsed="false">
      <c r="A14" s="3" t="s">
        <v>26</v>
      </c>
      <c r="B14" s="4" t="n">
        <v>356.07</v>
      </c>
      <c r="C14" s="4" t="n">
        <v>20.67</v>
      </c>
      <c r="D14" s="4" t="n">
        <v>4.02</v>
      </c>
      <c r="E14" s="4" t="n">
        <v>8.05</v>
      </c>
      <c r="F14" s="4" t="n">
        <v>3.5</v>
      </c>
      <c r="G14" s="4" t="n">
        <v>5.81</v>
      </c>
      <c r="H14" s="3"/>
      <c r="I14" s="4" t="n">
        <v>3.39</v>
      </c>
      <c r="J14" s="4" t="n">
        <v>8.01</v>
      </c>
      <c r="K14" s="4" t="n">
        <v>20.24</v>
      </c>
      <c r="L14" s="4" t="n">
        <v>4.89</v>
      </c>
      <c r="M14" s="4" t="n">
        <v>3.59</v>
      </c>
      <c r="N14" s="4" t="n">
        <v>3.88</v>
      </c>
      <c r="O14" s="4" t="n">
        <v>35.37</v>
      </c>
    </row>
    <row r="15" customFormat="false" ht="15" hidden="false" customHeight="false" outlineLevel="0" collapsed="false">
      <c r="A15" s="3" t="s">
        <v>27</v>
      </c>
      <c r="B15" s="4" t="n">
        <v>353.97</v>
      </c>
      <c r="C15" s="4" t="n">
        <v>21.12</v>
      </c>
      <c r="D15" s="4" t="n">
        <v>3.85</v>
      </c>
      <c r="E15" s="4" t="n">
        <v>6.76</v>
      </c>
      <c r="F15" s="4" t="n">
        <v>3.49</v>
      </c>
      <c r="G15" s="4" t="n">
        <v>5.97</v>
      </c>
      <c r="H15" s="3"/>
      <c r="I15" s="4" t="n">
        <v>3.29</v>
      </c>
      <c r="J15" s="4" t="n">
        <v>8.1</v>
      </c>
      <c r="K15" s="4" t="n">
        <v>20.51</v>
      </c>
      <c r="L15" s="4" t="n">
        <v>5.36</v>
      </c>
      <c r="M15" s="4" t="n">
        <v>3.51</v>
      </c>
      <c r="N15" s="4" t="n">
        <v>4.39</v>
      </c>
      <c r="O15" s="4" t="n">
        <v>34.12</v>
      </c>
    </row>
    <row r="16" customFormat="false" ht="15" hidden="false" customHeight="false" outlineLevel="0" collapsed="false">
      <c r="A16" s="3" t="s">
        <v>28</v>
      </c>
      <c r="B16" s="4" t="n">
        <v>354.45</v>
      </c>
      <c r="C16" s="4" t="n">
        <v>20.79</v>
      </c>
      <c r="D16" s="4" t="n">
        <v>3.76</v>
      </c>
      <c r="E16" s="4" t="n">
        <v>5.93</v>
      </c>
      <c r="F16" s="4" t="n">
        <v>3.49</v>
      </c>
      <c r="G16" s="4" t="n">
        <v>6.33</v>
      </c>
      <c r="H16" s="3"/>
      <c r="I16" s="4" t="n">
        <v>3.43</v>
      </c>
      <c r="J16" s="4" t="n">
        <v>8.27</v>
      </c>
      <c r="K16" s="4" t="n">
        <v>21.02</v>
      </c>
      <c r="L16" s="4" t="n">
        <v>5.4</v>
      </c>
      <c r="M16" s="4" t="n">
        <v>3.52</v>
      </c>
      <c r="N16" s="4" t="n">
        <v>4.47</v>
      </c>
      <c r="O16" s="4" t="n">
        <v>36.63</v>
      </c>
    </row>
    <row r="17" customFormat="false" ht="15" hidden="false" customHeight="false" outlineLevel="0" collapsed="false">
      <c r="A17" s="3" t="s">
        <v>29</v>
      </c>
      <c r="B17" s="4" t="n">
        <v>364.28</v>
      </c>
      <c r="C17" s="4" t="n">
        <v>20.93</v>
      </c>
      <c r="D17" s="4" t="n">
        <v>3.88</v>
      </c>
      <c r="E17" s="4" t="n">
        <v>5.21</v>
      </c>
      <c r="F17" s="4" t="n">
        <v>3.44</v>
      </c>
      <c r="G17" s="4" t="n">
        <v>6.41</v>
      </c>
      <c r="H17" s="3"/>
      <c r="I17" s="4" t="n">
        <v>4.15</v>
      </c>
      <c r="J17" s="4" t="n">
        <v>8.27</v>
      </c>
      <c r="K17" s="4" t="n">
        <v>20.74</v>
      </c>
      <c r="L17" s="4" t="n">
        <v>5.81</v>
      </c>
      <c r="M17" s="4" t="n">
        <v>3.36</v>
      </c>
      <c r="N17" s="4" t="n">
        <v>4.32</v>
      </c>
      <c r="O17" s="4" t="n">
        <v>37.51</v>
      </c>
    </row>
    <row r="18" customFormat="false" ht="15" hidden="false" customHeight="false" outlineLevel="0" collapsed="false">
      <c r="A18" s="3" t="s">
        <v>30</v>
      </c>
      <c r="B18" s="4" t="n">
        <v>365.57</v>
      </c>
      <c r="C18" s="4" t="n">
        <v>20.5</v>
      </c>
      <c r="D18" s="4" t="n">
        <v>3.76</v>
      </c>
      <c r="E18" s="4" t="n">
        <v>4.97</v>
      </c>
      <c r="F18" s="4" t="n">
        <v>3.34</v>
      </c>
      <c r="G18" s="4" t="n">
        <v>6.67</v>
      </c>
      <c r="H18" s="3"/>
      <c r="I18" s="4" t="n">
        <v>4.68</v>
      </c>
      <c r="J18" s="4" t="n">
        <v>8.15</v>
      </c>
      <c r="K18" s="4" t="n">
        <v>21.08</v>
      </c>
      <c r="L18" s="4" t="n">
        <v>5.63</v>
      </c>
      <c r="M18" s="4" t="n">
        <v>3.33</v>
      </c>
      <c r="N18" s="4" t="n">
        <v>4.1</v>
      </c>
      <c r="O18" s="4" t="n">
        <v>38.21</v>
      </c>
    </row>
    <row r="19" customFormat="false" ht="15" hidden="false" customHeight="false" outlineLevel="0" collapsed="false">
      <c r="A19" s="3" t="s">
        <v>31</v>
      </c>
      <c r="B19" s="4" t="n">
        <v>364.8</v>
      </c>
      <c r="C19" s="4" t="n">
        <v>20.59</v>
      </c>
      <c r="D19" s="4" t="n">
        <v>3.66</v>
      </c>
      <c r="E19" s="4" t="n">
        <v>4.84</v>
      </c>
      <c r="F19" s="4" t="n">
        <v>3.24</v>
      </c>
      <c r="G19" s="4" t="n">
        <v>6.68</v>
      </c>
      <c r="H19" s="3"/>
      <c r="I19" s="4" t="n">
        <v>4.64</v>
      </c>
      <c r="J19" s="4" t="n">
        <v>8.23</v>
      </c>
      <c r="K19" s="4" t="n">
        <v>21.13</v>
      </c>
      <c r="L19" s="4" t="n">
        <v>5.66</v>
      </c>
      <c r="M19" s="4" t="n">
        <v>3.2</v>
      </c>
      <c r="N19" s="4" t="n">
        <v>3.9</v>
      </c>
      <c r="O19" s="4" t="n">
        <v>39.13</v>
      </c>
    </row>
    <row r="20" customFormat="false" ht="15" hidden="false" customHeight="false" outlineLevel="0" collapsed="false">
      <c r="A20" s="3" t="s">
        <v>32</v>
      </c>
      <c r="B20" s="4" t="n">
        <v>365.52</v>
      </c>
      <c r="C20" s="4" t="n">
        <v>20.31</v>
      </c>
      <c r="D20" s="4" t="n">
        <v>3.66</v>
      </c>
      <c r="E20" s="4" t="n">
        <v>6.83</v>
      </c>
      <c r="F20" s="4" t="n">
        <v>3.19</v>
      </c>
      <c r="G20" s="4" t="n">
        <v>6.2</v>
      </c>
      <c r="H20" s="3"/>
      <c r="I20" s="4" t="n">
        <v>4.19</v>
      </c>
      <c r="J20" s="4" t="n">
        <v>8.54</v>
      </c>
      <c r="K20" s="4" t="n">
        <v>20.87</v>
      </c>
      <c r="L20" s="4" t="n">
        <v>5.35</v>
      </c>
      <c r="M20" s="4" t="n">
        <v>3.06</v>
      </c>
      <c r="N20" s="4" t="n">
        <v>3.7</v>
      </c>
      <c r="O20" s="4" t="n">
        <v>40.73</v>
      </c>
    </row>
    <row r="21" customFormat="false" ht="15" hidden="false" customHeight="false" outlineLevel="0" collapsed="false">
      <c r="A21" s="3" t="s">
        <v>33</v>
      </c>
      <c r="B21" s="4" t="n">
        <v>367.59</v>
      </c>
      <c r="C21" s="4" t="n">
        <v>19.92</v>
      </c>
      <c r="D21" s="4" t="n">
        <v>3.54</v>
      </c>
      <c r="E21" s="4" t="n">
        <v>6.29</v>
      </c>
      <c r="F21" s="4" t="n">
        <v>3.12</v>
      </c>
      <c r="G21" s="4" t="n">
        <v>5.88</v>
      </c>
      <c r="H21" s="3"/>
      <c r="I21" s="4" t="n">
        <v>4.8</v>
      </c>
      <c r="J21" s="4" t="n">
        <v>8.54</v>
      </c>
      <c r="K21" s="4" t="n">
        <v>20.58</v>
      </c>
      <c r="L21" s="4" t="n">
        <v>5.3</v>
      </c>
      <c r="M21" s="4" t="n">
        <v>2.99</v>
      </c>
      <c r="N21" s="4" t="n">
        <v>3.67</v>
      </c>
      <c r="O21" s="4" t="n">
        <v>42.84</v>
      </c>
    </row>
    <row r="22" customFormat="false" ht="15" hidden="false" customHeight="false" outlineLevel="0" collapsed="false">
      <c r="A22" s="3" t="s">
        <v>34</v>
      </c>
      <c r="B22" s="4" t="n">
        <v>352.36</v>
      </c>
      <c r="C22" s="4" t="n">
        <v>19.84</v>
      </c>
      <c r="D22" s="4" t="n">
        <v>3.54</v>
      </c>
      <c r="E22" s="4" t="n">
        <v>5.3</v>
      </c>
      <c r="F22" s="4" t="n">
        <v>3.1</v>
      </c>
      <c r="G22" s="4" t="n">
        <v>5.78</v>
      </c>
      <c r="H22" s="3"/>
      <c r="I22" s="4" t="n">
        <v>4.15</v>
      </c>
      <c r="J22" s="4" t="n">
        <v>8.43</v>
      </c>
      <c r="K22" s="4" t="n">
        <v>20.69</v>
      </c>
      <c r="L22" s="4" t="n">
        <v>5.11</v>
      </c>
      <c r="M22" s="4" t="n">
        <v>2.96</v>
      </c>
      <c r="N22" s="4" t="n">
        <v>3.59</v>
      </c>
      <c r="O22" s="4" t="n">
        <v>42.8</v>
      </c>
    </row>
    <row r="23" customFormat="false" ht="15" hidden="false" customHeight="false" outlineLevel="0" collapsed="false">
      <c r="A23" s="3" t="s">
        <v>35</v>
      </c>
      <c r="B23" s="4" t="n">
        <v>338.38</v>
      </c>
      <c r="C23" s="4" t="n">
        <v>20</v>
      </c>
      <c r="D23" s="4" t="n">
        <v>3.49</v>
      </c>
      <c r="E23" s="4" t="n">
        <v>4.6</v>
      </c>
      <c r="F23" s="4" t="n">
        <v>2.99</v>
      </c>
      <c r="G23" s="4" t="n">
        <v>5.68</v>
      </c>
      <c r="H23" s="3"/>
      <c r="I23" s="4" t="n">
        <v>3.5</v>
      </c>
      <c r="J23" s="4" t="n">
        <v>8.33</v>
      </c>
      <c r="K23" s="4" t="n">
        <v>20.57</v>
      </c>
      <c r="L23" s="4" t="n">
        <v>5.04</v>
      </c>
      <c r="M23" s="4" t="n">
        <v>2.72</v>
      </c>
      <c r="N23" s="4" t="n">
        <v>3.49</v>
      </c>
      <c r="O23" s="4" t="n">
        <v>41.79</v>
      </c>
    </row>
    <row r="24" customFormat="false" ht="15" hidden="false" customHeight="false" outlineLevel="0" collapsed="false">
      <c r="A24" s="3" t="s">
        <v>36</v>
      </c>
      <c r="B24" s="4" t="n">
        <v>337.37</v>
      </c>
      <c r="C24" s="4" t="n">
        <v>20.4</v>
      </c>
      <c r="D24" s="4" t="n">
        <v>3.37</v>
      </c>
      <c r="E24" s="4" t="n">
        <v>4.36</v>
      </c>
      <c r="F24" s="4" t="n">
        <v>3</v>
      </c>
      <c r="G24" s="4" t="n">
        <v>5.58</v>
      </c>
      <c r="H24" s="3"/>
      <c r="I24" s="4" t="n">
        <v>3.58</v>
      </c>
      <c r="J24" s="4" t="n">
        <v>8.26</v>
      </c>
      <c r="K24" s="4" t="n">
        <v>20.36</v>
      </c>
      <c r="L24" s="4" t="n">
        <v>5</v>
      </c>
      <c r="M24" s="4" t="n">
        <v>2.59</v>
      </c>
      <c r="N24" s="4" t="n">
        <v>3.52</v>
      </c>
      <c r="O24" s="4" t="n">
        <v>41.02</v>
      </c>
    </row>
    <row r="25" customFormat="false" ht="15" hidden="false" customHeight="false" outlineLevel="0" collapsed="false">
      <c r="A25" s="3" t="s">
        <v>37</v>
      </c>
      <c r="B25" s="4" t="n">
        <v>333.14</v>
      </c>
      <c r="C25" s="4" t="n">
        <v>20.37</v>
      </c>
      <c r="D25" s="4" t="n">
        <v>3.39</v>
      </c>
      <c r="E25" s="4" t="n">
        <v>4.3</v>
      </c>
      <c r="F25" s="4" t="n">
        <v>2.94</v>
      </c>
      <c r="G25" s="4" t="n">
        <v>5.71</v>
      </c>
      <c r="H25" s="3"/>
      <c r="I25" s="4" t="n">
        <v>3.26</v>
      </c>
      <c r="J25" s="4" t="n">
        <v>8.26</v>
      </c>
      <c r="K25" s="4" t="n">
        <v>20.37</v>
      </c>
      <c r="L25" s="4" t="n">
        <v>4.97</v>
      </c>
      <c r="M25" s="4" t="n">
        <v>2.58</v>
      </c>
      <c r="N25" s="4" t="n">
        <v>3.64</v>
      </c>
      <c r="O25" s="4" t="n">
        <v>40.83</v>
      </c>
    </row>
    <row r="26" customFormat="false" ht="15" hidden="false" customHeight="false" outlineLevel="0" collapsed="false">
      <c r="A26" s="3" t="s">
        <v>38</v>
      </c>
      <c r="B26" s="4" t="n">
        <v>334.13</v>
      </c>
      <c r="C26" s="4" t="n">
        <v>20.81</v>
      </c>
      <c r="D26" s="4" t="n">
        <v>3.34</v>
      </c>
      <c r="E26" s="4" t="n">
        <v>4.09</v>
      </c>
      <c r="F26" s="4" t="n">
        <v>2.91</v>
      </c>
      <c r="G26" s="4" t="n">
        <v>5.8</v>
      </c>
      <c r="H26" s="3"/>
      <c r="I26" s="4" t="n">
        <v>3.34</v>
      </c>
      <c r="J26" s="4" t="n">
        <v>8.26</v>
      </c>
      <c r="K26" s="4" t="n">
        <v>20.19</v>
      </c>
      <c r="L26" s="4" t="n">
        <v>4.94</v>
      </c>
      <c r="M26" s="4" t="n">
        <v>2.62</v>
      </c>
      <c r="N26" s="4" t="n">
        <v>3.67</v>
      </c>
      <c r="O26" s="4" t="n">
        <v>39.82</v>
      </c>
    </row>
    <row r="27" customFormat="false" ht="15" hidden="false" customHeight="false" outlineLevel="0" collapsed="false">
      <c r="A27" s="3" t="s">
        <v>39</v>
      </c>
      <c r="B27" s="4" t="n">
        <v>355.22</v>
      </c>
      <c r="C27" s="4" t="n">
        <v>20.89</v>
      </c>
      <c r="D27" s="4" t="n">
        <v>3.23</v>
      </c>
      <c r="E27" s="4" t="n">
        <v>3.84</v>
      </c>
      <c r="F27" s="4" t="n">
        <v>2.9</v>
      </c>
      <c r="G27" s="4" t="n">
        <v>5.72</v>
      </c>
      <c r="H27" s="3"/>
      <c r="I27" s="4" t="n">
        <v>5.13</v>
      </c>
      <c r="J27" s="4" t="n">
        <v>8.2</v>
      </c>
      <c r="K27" s="4" t="n">
        <v>20.01</v>
      </c>
      <c r="L27" s="4" t="n">
        <v>5.27</v>
      </c>
      <c r="M27" s="4" t="n">
        <v>2.46</v>
      </c>
      <c r="N27" s="4" t="n">
        <v>3.74</v>
      </c>
      <c r="O27" s="4" t="n">
        <v>39.38</v>
      </c>
    </row>
    <row r="28" customFormat="false" ht="15" hidden="false" customHeight="false" outlineLevel="0" collapsed="false">
      <c r="A28" s="3" t="s">
        <v>40</v>
      </c>
      <c r="B28" s="4" t="n">
        <v>356.74</v>
      </c>
      <c r="C28" s="4" t="n">
        <v>20.48</v>
      </c>
      <c r="D28" s="4" t="n">
        <v>3.3</v>
      </c>
      <c r="E28" s="4" t="n">
        <v>3.64</v>
      </c>
      <c r="F28" s="4" t="n">
        <v>2.84</v>
      </c>
      <c r="G28" s="4" t="n">
        <v>5.61</v>
      </c>
      <c r="H28" s="3"/>
      <c r="I28" s="4" t="n">
        <v>5.6</v>
      </c>
      <c r="J28" s="4" t="n">
        <v>8.2</v>
      </c>
      <c r="K28" s="4" t="n">
        <v>19.66</v>
      </c>
      <c r="L28" s="4" t="n">
        <v>5.25</v>
      </c>
      <c r="M28" s="4" t="n">
        <v>2.4</v>
      </c>
      <c r="N28" s="4" t="n">
        <v>3.71</v>
      </c>
      <c r="O28" s="4" t="n">
        <v>38.35</v>
      </c>
    </row>
    <row r="29" customFormat="false" ht="15" hidden="false" customHeight="false" outlineLevel="0" collapsed="false">
      <c r="A29" s="3" t="s">
        <v>41</v>
      </c>
      <c r="B29" s="4" t="n">
        <v>353.16</v>
      </c>
      <c r="C29" s="4" t="n">
        <v>20.68</v>
      </c>
      <c r="D29" s="4" t="n">
        <v>3.34</v>
      </c>
      <c r="E29" s="4" t="n">
        <v>3.51</v>
      </c>
      <c r="F29" s="4" t="n">
        <v>2.8</v>
      </c>
      <c r="G29" s="4" t="n">
        <v>5.56</v>
      </c>
      <c r="H29" s="3"/>
      <c r="I29" s="4" t="n">
        <v>5.15</v>
      </c>
      <c r="J29" s="4" t="n">
        <v>8.2</v>
      </c>
      <c r="K29" s="4" t="n">
        <v>19.54</v>
      </c>
      <c r="L29" s="4" t="n">
        <v>5.43</v>
      </c>
      <c r="M29" s="4" t="n">
        <v>2.41</v>
      </c>
      <c r="N29" s="4" t="n">
        <v>3.66</v>
      </c>
      <c r="O29" s="4" t="n">
        <v>38.69</v>
      </c>
    </row>
    <row r="30" customFormat="false" ht="15" hidden="false" customHeight="false" outlineLevel="0" collapsed="false">
      <c r="A30" s="3" t="s">
        <v>42</v>
      </c>
      <c r="B30" s="4" t="n">
        <v>345.33</v>
      </c>
      <c r="C30" s="4" t="n">
        <v>20.62</v>
      </c>
      <c r="D30" s="4" t="n">
        <v>3.48</v>
      </c>
      <c r="E30" s="4" t="n">
        <v>3.41</v>
      </c>
      <c r="F30" s="4" t="n">
        <v>2.81</v>
      </c>
      <c r="G30" s="4" t="n">
        <v>5.63</v>
      </c>
      <c r="H30" s="3"/>
      <c r="I30" s="4" t="n">
        <v>4.54</v>
      </c>
      <c r="J30" s="4" t="n">
        <v>8.13</v>
      </c>
      <c r="K30" s="4" t="n">
        <v>19.07</v>
      </c>
      <c r="L30" s="4" t="n">
        <v>5.49</v>
      </c>
      <c r="M30" s="4" t="n">
        <v>2.35</v>
      </c>
      <c r="N30" s="4" t="n">
        <v>3.6</v>
      </c>
      <c r="O30" s="4" t="n">
        <v>37.98</v>
      </c>
    </row>
    <row r="31" customFormat="false" ht="15" hidden="false" customHeight="false" outlineLevel="0" collapsed="false">
      <c r="A31" s="3" t="s">
        <v>43</v>
      </c>
      <c r="B31" s="4" t="n">
        <v>349.98</v>
      </c>
      <c r="C31" s="4" t="n">
        <v>20.76</v>
      </c>
      <c r="D31" s="4" t="n">
        <v>3.59</v>
      </c>
      <c r="E31" s="4" t="n">
        <v>3.34</v>
      </c>
      <c r="F31" s="4" t="n">
        <v>2.82</v>
      </c>
      <c r="G31" s="4" t="n">
        <v>5.58</v>
      </c>
      <c r="H31" s="3"/>
      <c r="I31" s="4" t="n">
        <v>4.56</v>
      </c>
      <c r="J31" s="4" t="n">
        <v>8.25</v>
      </c>
      <c r="K31" s="4" t="n">
        <v>19.17</v>
      </c>
      <c r="L31" s="4" t="n">
        <v>5.59</v>
      </c>
      <c r="M31" s="4" t="n">
        <v>2.4</v>
      </c>
      <c r="N31" s="4" t="n">
        <v>3.62</v>
      </c>
      <c r="O31" s="4" t="n">
        <v>40.51</v>
      </c>
    </row>
    <row r="32" customFormat="false" ht="15" hidden="false" customHeight="false" outlineLevel="0" collapsed="false">
      <c r="A32" s="3" t="s">
        <v>44</v>
      </c>
      <c r="B32" s="4" t="n">
        <v>358.71</v>
      </c>
      <c r="C32" s="4" t="n">
        <v>21.4</v>
      </c>
      <c r="D32" s="4" t="n">
        <v>3.83</v>
      </c>
      <c r="E32" s="4" t="n">
        <v>3.44</v>
      </c>
      <c r="F32" s="4" t="n">
        <v>2.86</v>
      </c>
      <c r="G32" s="4" t="n">
        <v>5.72</v>
      </c>
      <c r="H32" s="3"/>
      <c r="I32" s="4" t="n">
        <v>4.8</v>
      </c>
      <c r="J32" s="4" t="n">
        <v>8.29</v>
      </c>
      <c r="K32" s="4" t="n">
        <v>18.78</v>
      </c>
      <c r="L32" s="4" t="n">
        <v>5.77</v>
      </c>
      <c r="M32" s="4" t="n">
        <v>2.45</v>
      </c>
      <c r="N32" s="4" t="n">
        <v>3.62</v>
      </c>
      <c r="O32" s="4" t="n">
        <v>39.02</v>
      </c>
    </row>
    <row r="33" customFormat="false" ht="15" hidden="false" customHeight="false" outlineLevel="0" collapsed="false">
      <c r="A33" s="3" t="s">
        <v>45</v>
      </c>
      <c r="B33" s="4" t="n">
        <v>336.67</v>
      </c>
      <c r="C33" s="4" t="n">
        <v>20.61</v>
      </c>
      <c r="D33" s="4" t="n">
        <v>4.59</v>
      </c>
      <c r="E33" s="4" t="n">
        <v>3.48</v>
      </c>
      <c r="F33" s="4" t="n">
        <v>2.92</v>
      </c>
      <c r="G33" s="4" t="n">
        <v>5.22</v>
      </c>
      <c r="H33" s="3"/>
      <c r="I33" s="4" t="n">
        <v>3.42</v>
      </c>
      <c r="J33" s="4" t="n">
        <v>8.19</v>
      </c>
      <c r="K33" s="4" t="n">
        <v>18.75</v>
      </c>
      <c r="L33" s="4" t="n">
        <v>5.2</v>
      </c>
      <c r="M33" s="4" t="n">
        <v>2.41</v>
      </c>
      <c r="N33" s="4" t="n">
        <v>3.6</v>
      </c>
      <c r="O33" s="4" t="n">
        <v>38.54</v>
      </c>
    </row>
    <row r="34" customFormat="false" ht="15" hidden="false" customHeight="false" outlineLevel="0" collapsed="false">
      <c r="A34" s="3" t="s">
        <v>46</v>
      </c>
      <c r="B34" s="4" t="n">
        <v>329.42</v>
      </c>
      <c r="C34" s="4" t="n">
        <v>20.6</v>
      </c>
      <c r="D34" s="4" t="n">
        <v>4.56</v>
      </c>
      <c r="E34" s="4" t="n">
        <v>3.5</v>
      </c>
      <c r="F34" s="4" t="n">
        <v>2.93</v>
      </c>
      <c r="G34" s="4" t="n">
        <v>5.15</v>
      </c>
      <c r="H34" s="3"/>
      <c r="I34" s="4" t="n">
        <v>2.82</v>
      </c>
      <c r="J34" s="4" t="n">
        <v>8.31</v>
      </c>
      <c r="K34" s="4" t="n">
        <v>18.92</v>
      </c>
      <c r="L34" s="4" t="n">
        <v>5.02</v>
      </c>
      <c r="M34" s="4" t="n">
        <v>2.43</v>
      </c>
      <c r="N34" s="4" t="n">
        <v>3.63</v>
      </c>
      <c r="O34" s="4" t="n">
        <v>39.55</v>
      </c>
    </row>
    <row r="35" customFormat="false" ht="15" hidden="false" customHeight="false" outlineLevel="0" collapsed="false">
      <c r="A35" s="3" t="s">
        <v>47</v>
      </c>
      <c r="B35" s="4" t="n">
        <v>324.04</v>
      </c>
      <c r="C35" s="4" t="n">
        <v>20.72</v>
      </c>
      <c r="D35" s="4" t="n">
        <v>4.4</v>
      </c>
      <c r="E35" s="4" t="n">
        <v>3.49</v>
      </c>
      <c r="F35" s="4" t="n">
        <v>3.03</v>
      </c>
      <c r="G35" s="4" t="n">
        <v>4.79</v>
      </c>
      <c r="H35" s="3"/>
      <c r="I35" s="4" t="n">
        <v>2.75</v>
      </c>
      <c r="J35" s="4" t="n">
        <v>8.25</v>
      </c>
      <c r="K35" s="4" t="n">
        <v>18.45</v>
      </c>
      <c r="L35" s="4" t="n">
        <v>4.75</v>
      </c>
      <c r="M35" s="4" t="n">
        <v>2.33</v>
      </c>
      <c r="N35" s="4" t="n">
        <v>3.6</v>
      </c>
      <c r="O35" s="4" t="n">
        <v>38.86</v>
      </c>
    </row>
    <row r="36" customFormat="false" ht="15" hidden="false" customHeight="false" outlineLevel="0" collapsed="false">
      <c r="A36" s="3" t="s">
        <v>48</v>
      </c>
      <c r="B36" s="4" t="n">
        <v>333.36</v>
      </c>
      <c r="C36" s="4" t="n">
        <v>20.47</v>
      </c>
      <c r="D36" s="4" t="n">
        <v>4.39</v>
      </c>
      <c r="E36" s="4" t="n">
        <v>3.52</v>
      </c>
      <c r="F36" s="4" t="n">
        <v>3.1</v>
      </c>
      <c r="G36" s="4" t="n">
        <v>4.62</v>
      </c>
      <c r="H36" s="3"/>
      <c r="I36" s="4" t="n">
        <v>3.66</v>
      </c>
      <c r="J36" s="4" t="n">
        <v>8.5</v>
      </c>
      <c r="K36" s="4" t="n">
        <v>18.82</v>
      </c>
      <c r="L36" s="4" t="n">
        <v>4.45</v>
      </c>
      <c r="M36" s="4" t="n">
        <v>2.4</v>
      </c>
      <c r="N36" s="4" t="n">
        <v>3.71</v>
      </c>
      <c r="O36" s="4" t="n">
        <v>38.91</v>
      </c>
    </row>
    <row r="37" customFormat="false" ht="15" hidden="false" customHeight="false" outlineLevel="0" collapsed="false">
      <c r="A37" s="3" t="s">
        <v>49</v>
      </c>
      <c r="B37" s="4" t="n">
        <v>354.83</v>
      </c>
      <c r="C37" s="4" t="n">
        <v>20.64</v>
      </c>
      <c r="D37" s="4" t="n">
        <v>4.07</v>
      </c>
      <c r="E37" s="4" t="n">
        <v>3.56</v>
      </c>
      <c r="F37" s="4" t="n">
        <v>3.25</v>
      </c>
      <c r="G37" s="4" t="n">
        <v>4.55</v>
      </c>
      <c r="H37" s="3"/>
      <c r="I37" s="4" t="n">
        <v>5.27</v>
      </c>
      <c r="J37" s="4" t="n">
        <v>8.64</v>
      </c>
      <c r="K37" s="4" t="n">
        <v>18.57</v>
      </c>
      <c r="L37" s="4" t="n">
        <v>4.71</v>
      </c>
      <c r="M37" s="4" t="n">
        <v>2.61</v>
      </c>
      <c r="N37" s="4" t="n">
        <v>3.79</v>
      </c>
      <c r="O37" s="4" t="n">
        <v>38.08</v>
      </c>
    </row>
    <row r="38" customFormat="false" ht="15" hidden="false" customHeight="false" outlineLevel="0" collapsed="false">
      <c r="A38" s="3" t="s">
        <v>50</v>
      </c>
      <c r="B38" s="4" t="n">
        <v>353.4</v>
      </c>
      <c r="C38" s="4" t="n">
        <v>20.7</v>
      </c>
      <c r="D38" s="4" t="n">
        <v>3.93</v>
      </c>
      <c r="E38" s="4" t="n">
        <v>3.54</v>
      </c>
      <c r="F38" s="4" t="n">
        <v>3.22</v>
      </c>
      <c r="G38" s="4" t="n">
        <v>4.39</v>
      </c>
      <c r="H38" s="3"/>
      <c r="I38" s="4" t="n">
        <v>5.3</v>
      </c>
      <c r="J38" s="4" t="n">
        <v>8.64</v>
      </c>
      <c r="K38" s="4" t="n">
        <v>18.55</v>
      </c>
      <c r="L38" s="4" t="n">
        <v>4.66</v>
      </c>
      <c r="M38" s="4" t="n">
        <v>2.67</v>
      </c>
      <c r="N38" s="4" t="n">
        <v>3.84</v>
      </c>
      <c r="O38" s="4" t="n">
        <v>37.56</v>
      </c>
    </row>
    <row r="39" customFormat="false" ht="15" hidden="false" customHeight="false" outlineLevel="0" collapsed="false">
      <c r="A39" s="3" t="s">
        <v>51</v>
      </c>
      <c r="B39" s="4" t="n">
        <v>353.85</v>
      </c>
      <c r="C39" s="4" t="n">
        <v>21.68</v>
      </c>
      <c r="D39" s="4" t="n">
        <v>3.76</v>
      </c>
      <c r="E39" s="4" t="n">
        <v>4.68</v>
      </c>
      <c r="F39" s="4" t="n">
        <v>3.2</v>
      </c>
      <c r="G39" s="4" t="n">
        <v>4.02</v>
      </c>
      <c r="H39" s="3"/>
      <c r="I39" s="4" t="n">
        <v>4.49</v>
      </c>
      <c r="J39" s="4" t="n">
        <v>8.75</v>
      </c>
      <c r="K39" s="4" t="n">
        <v>18.25</v>
      </c>
      <c r="L39" s="4" t="n">
        <v>4.87</v>
      </c>
      <c r="M39" s="4" t="n">
        <v>2.72</v>
      </c>
      <c r="N39" s="4" t="n">
        <v>3.87</v>
      </c>
      <c r="O39" s="4" t="n">
        <v>38.22</v>
      </c>
    </row>
    <row r="40" customFormat="false" ht="15" hidden="false" customHeight="false" outlineLevel="0" collapsed="false">
      <c r="A40" s="3" t="s">
        <v>52</v>
      </c>
      <c r="B40" s="4" t="n">
        <v>368.82</v>
      </c>
      <c r="C40" s="4" t="n">
        <v>21.58</v>
      </c>
      <c r="D40" s="4" t="n">
        <v>3.84</v>
      </c>
      <c r="E40" s="4" t="n">
        <v>7.52</v>
      </c>
      <c r="F40" s="4" t="n">
        <v>3.24</v>
      </c>
      <c r="G40" s="4" t="n">
        <v>3.88</v>
      </c>
      <c r="H40" s="3"/>
      <c r="I40" s="4" t="n">
        <v>4.46</v>
      </c>
      <c r="J40" s="4" t="n">
        <v>8.7</v>
      </c>
      <c r="K40" s="4" t="n">
        <v>17.38</v>
      </c>
      <c r="L40" s="4" t="n">
        <v>5.15</v>
      </c>
      <c r="M40" s="4" t="n">
        <v>2.77</v>
      </c>
      <c r="N40" s="4" t="n">
        <v>3.95</v>
      </c>
      <c r="O40" s="4" t="n">
        <v>39.61</v>
      </c>
    </row>
    <row r="41" customFormat="false" ht="15" hidden="false" customHeight="false" outlineLevel="0" collapsed="false">
      <c r="A41" s="3" t="s">
        <v>53</v>
      </c>
      <c r="B41" s="4" t="n">
        <v>395.58</v>
      </c>
      <c r="C41" s="4" t="n">
        <v>21.16</v>
      </c>
      <c r="D41" s="4" t="n">
        <v>3.84</v>
      </c>
      <c r="E41" s="4" t="n">
        <v>8.84</v>
      </c>
      <c r="F41" s="4" t="n">
        <v>3.22</v>
      </c>
      <c r="G41" s="4" t="n">
        <v>4.03</v>
      </c>
      <c r="H41" s="3"/>
      <c r="I41" s="4" t="n">
        <v>6.07</v>
      </c>
      <c r="J41" s="4" t="n">
        <v>8.75</v>
      </c>
      <c r="K41" s="4" t="n">
        <v>17.34</v>
      </c>
      <c r="L41" s="4" t="n">
        <v>5.54</v>
      </c>
      <c r="M41" s="4" t="n">
        <v>2.69</v>
      </c>
      <c r="N41" s="4" t="n">
        <v>3.92</v>
      </c>
      <c r="O41" s="4" t="n">
        <v>39.71</v>
      </c>
    </row>
    <row r="42" customFormat="false" ht="15" hidden="false" customHeight="false" outlineLevel="0" collapsed="false">
      <c r="A42" s="3" t="s">
        <v>54</v>
      </c>
      <c r="B42" s="4" t="n">
        <v>423.66</v>
      </c>
      <c r="C42" s="4" t="n">
        <v>21.74</v>
      </c>
      <c r="D42" s="4" t="n">
        <v>3.82</v>
      </c>
      <c r="E42" s="4" t="n">
        <v>8.42</v>
      </c>
      <c r="F42" s="4" t="n">
        <v>3.19</v>
      </c>
      <c r="G42" s="4" t="n">
        <v>3.97</v>
      </c>
      <c r="H42" s="3"/>
      <c r="I42" s="4" t="n">
        <v>8.07</v>
      </c>
      <c r="J42" s="4" t="n">
        <v>8.83</v>
      </c>
      <c r="K42" s="4" t="n">
        <v>17.5</v>
      </c>
      <c r="L42" s="4" t="n">
        <v>5.75</v>
      </c>
      <c r="M42" s="4" t="n">
        <v>2.78</v>
      </c>
      <c r="N42" s="4" t="n">
        <v>3.88</v>
      </c>
      <c r="O42" s="4" t="n">
        <v>41.61</v>
      </c>
    </row>
    <row r="43" customFormat="false" ht="15" hidden="false" customHeight="false" outlineLevel="0" collapsed="false">
      <c r="A43" s="3" t="s">
        <v>55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customFormat="false" ht="15" hidden="false" customHeight="false" outlineLevel="0" collapsed="false">
      <c r="A44" s="3" t="s">
        <v>56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customFormat="false" ht="15" hidden="false" customHeight="false" outlineLevel="0" collapsed="false">
      <c r="A45" s="3" t="s">
        <v>57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customFormat="false" ht="15" hidden="false" customHeight="false" outlineLevel="0" collapsed="false">
      <c r="A46" s="3" t="s">
        <v>58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customFormat="false" ht="15" hidden="false" customHeight="false" outlineLevel="0" collapsed="false">
      <c r="A47" s="3" t="s">
        <v>59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customFormat="false" ht="15" hidden="false" customHeight="false" outlineLevel="0" collapsed="false">
      <c r="A48" s="3" t="s">
        <v>60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customFormat="false" ht="15" hidden="false" customHeight="false" outlineLevel="0" collapsed="false">
      <c r="A49" s="3" t="s">
        <v>61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customFormat="false" ht="15" hidden="false" customHeight="false" outlineLevel="0" collapsed="false">
      <c r="A50" s="3" t="s">
        <v>62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customFormat="false" ht="15" hidden="false" customHeight="false" outlineLevel="0" collapsed="false">
      <c r="A51" s="3" t="s">
        <v>63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customFormat="false" ht="15" hidden="false" customHeight="false" outlineLevel="0" collapsed="false">
      <c r="A52" s="3" t="s">
        <v>64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customFormat="false" ht="15" hidden="false" customHeight="false" outlineLevel="0" collapsed="false">
      <c r="A53" s="3" t="s">
        <v>65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customFormat="false" ht="15" hidden="false" customHeight="false" outlineLevel="0" collapsed="false">
      <c r="A54" s="3" t="s">
        <v>66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customFormat="false" ht="15" hidden="false" customHeight="false" outlineLevel="0" collapsed="false">
      <c r="A55" s="3" t="s">
        <v>67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customFormat="false" ht="15" hidden="false" customHeight="false" outlineLevel="0" collapsed="false">
      <c r="A56" s="3" t="s">
        <v>68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customFormat="false" ht="15" hidden="false" customHeight="false" outlineLevel="0" collapsed="false">
      <c r="A57" s="3" t="s">
        <v>69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customFormat="false" ht="15" hidden="false" customHeight="false" outlineLevel="0" collapsed="false">
      <c r="A58" s="3" t="s">
        <v>70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customFormat="false" ht="15" hidden="false" customHeight="false" outlineLevel="0" collapsed="false">
      <c r="A59" s="3" t="s">
        <v>71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customFormat="false" ht="15" hidden="false" customHeight="false" outlineLevel="0" collapsed="false">
      <c r="A60" s="3" t="s">
        <v>72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customFormat="false" ht="15" hidden="false" customHeight="false" outlineLevel="0" collapsed="false">
      <c r="A61" s="3" t="s">
        <v>73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customFormat="false" ht="15" hidden="false" customHeight="false" outlineLevel="0" collapsed="false">
      <c r="A62" s="3" t="s">
        <v>74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customFormat="false" ht="15" hidden="false" customHeight="false" outlineLevel="0" collapsed="false">
      <c r="A63" s="3" t="s">
        <v>75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customFormat="false" ht="15" hidden="false" customHeight="false" outlineLevel="0" collapsed="false">
      <c r="A64" s="3" t="s">
        <v>76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customFormat="false" ht="15" hidden="false" customHeight="false" outlineLevel="0" collapsed="false">
      <c r="A65" s="3" t="s">
        <v>77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customFormat="false" ht="15" hidden="false" customHeight="false" outlineLevel="0" collapsed="false">
      <c r="A66" s="3" t="s">
        <v>78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customFormat="false" ht="15" hidden="false" customHeight="false" outlineLevel="0" collapsed="false">
      <c r="A67" s="3" t="s">
        <v>79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customFormat="false" ht="15" hidden="false" customHeight="false" outlineLevel="0" collapsed="false">
      <c r="A68" s="3" t="s">
        <v>80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customFormat="false" ht="15" hidden="false" customHeight="false" outlineLevel="0" collapsed="false">
      <c r="A69" s="3" t="s">
        <v>81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customFormat="false" ht="15" hidden="false" customHeight="false" outlineLevel="0" collapsed="false">
      <c r="A70" s="3" t="s">
        <v>82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customFormat="false" ht="15" hidden="false" customHeight="false" outlineLevel="0" collapsed="false">
      <c r="A71" s="3" t="s">
        <v>83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customFormat="false" ht="15" hidden="false" customHeight="false" outlineLevel="0" collapsed="false">
      <c r="A72" s="3" t="s">
        <v>84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customFormat="false" ht="15" hidden="false" customHeight="false" outlineLevel="0" collapsed="false">
      <c r="A73" s="3" t="s">
        <v>85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customFormat="false" ht="15" hidden="false" customHeight="false" outlineLevel="0" collapsed="false">
      <c r="A74" s="3" t="s">
        <v>86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customFormat="false" ht="15" hidden="false" customHeight="false" outlineLevel="0" collapsed="false">
      <c r="A75" s="3" t="s">
        <v>87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customFormat="false" ht="15" hidden="false" customHeight="false" outlineLevel="0" collapsed="false">
      <c r="A76" s="3" t="s">
        <v>88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customFormat="false" ht="15" hidden="false" customHeight="false" outlineLevel="0" collapsed="false">
      <c r="A77" s="3" t="s">
        <v>89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customFormat="false" ht="15" hidden="false" customHeight="false" outlineLevel="0" collapsed="false">
      <c r="A78" s="3" t="s">
        <v>90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customFormat="false" ht="15" hidden="false" customHeight="false" outlineLevel="0" collapsed="false">
      <c r="A79" s="3" t="s">
        <v>91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customFormat="false" ht="15" hidden="false" customHeight="false" outlineLevel="0" collapsed="false">
      <c r="A80" s="3" t="s">
        <v>92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customFormat="false" ht="15" hidden="false" customHeight="false" outlineLevel="0" collapsed="false">
      <c r="A81" s="3" t="s">
        <v>93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customFormat="false" ht="15" hidden="false" customHeight="false" outlineLevel="0" collapsed="false">
      <c r="A82" s="3" t="s">
        <v>94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customFormat="false" ht="15" hidden="false" customHeight="false" outlineLevel="0" collapsed="false">
      <c r="A83" s="3" t="s">
        <v>95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customFormat="false" ht="15" hidden="false" customHeight="false" outlineLevel="0" collapsed="false">
      <c r="A84" s="3" t="s">
        <v>96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customFormat="false" ht="15" hidden="false" customHeight="false" outlineLevel="0" collapsed="false">
      <c r="A85" s="3" t="s">
        <v>97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customFormat="false" ht="15" hidden="false" customHeight="false" outlineLevel="0" collapsed="false">
      <c r="A86" s="3" t="s">
        <v>98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customFormat="false" ht="15" hidden="false" customHeight="false" outlineLevel="0" collapsed="false">
      <c r="A87" s="3" t="s">
        <v>99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customFormat="false" ht="15" hidden="false" customHeight="false" outlineLevel="0" collapsed="false">
      <c r="A88" s="3" t="s">
        <v>100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customFormat="false" ht="15" hidden="false" customHeight="false" outlineLevel="0" collapsed="false">
      <c r="A89" s="3" t="s">
        <v>101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customFormat="false" ht="15" hidden="false" customHeight="false" outlineLevel="0" collapsed="false">
      <c r="A90" s="3" t="s">
        <v>102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customFormat="false" ht="15" hidden="false" customHeight="false" outlineLevel="0" collapsed="false">
      <c r="A91" s="3" t="s">
        <v>103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customFormat="false" ht="15" hidden="false" customHeight="false" outlineLevel="0" collapsed="false">
      <c r="A92" s="3" t="s">
        <v>104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customFormat="false" ht="15" hidden="false" customHeight="false" outlineLevel="0" collapsed="false">
      <c r="A93" s="3" t="s">
        <v>105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customFormat="false" ht="15" hidden="false" customHeight="false" outlineLevel="0" collapsed="false">
      <c r="A94" s="3" t="s">
        <v>106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customFormat="false" ht="15" hidden="false" customHeight="false" outlineLevel="0" collapsed="false">
      <c r="A95" s="3" t="s">
        <v>107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customFormat="false" ht="15" hidden="false" customHeight="false" outlineLevel="0" collapsed="false">
      <c r="A96" s="3" t="s">
        <v>108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customFormat="false" ht="15" hidden="false" customHeight="false" outlineLevel="0" collapsed="false">
      <c r="A97" s="3" t="s">
        <v>109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customFormat="false" ht="15" hidden="false" customHeight="false" outlineLevel="0" collapsed="false">
      <c r="A98" s="3" t="s">
        <v>110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customFormat="false" ht="15" hidden="false" customHeight="false" outlineLevel="0" collapsed="false">
      <c r="A99" s="3" t="s">
        <v>111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customFormat="false" ht="15" hidden="false" customHeight="false" outlineLevel="0" collapsed="false">
      <c r="A100" s="3" t="s">
        <v>112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customFormat="false" ht="15" hidden="false" customHeight="false" outlineLevel="0" collapsed="false">
      <c r="A101" s="3" t="s">
        <v>113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customFormat="false" ht="15" hidden="false" customHeight="false" outlineLevel="0" collapsed="false">
      <c r="A102" s="3" t="s">
        <v>114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customFormat="false" ht="15" hidden="false" customHeight="false" outlineLevel="0" collapsed="false">
      <c r="A103" s="3" t="s">
        <v>115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customFormat="false" ht="15" hidden="false" customHeight="false" outlineLevel="0" collapsed="false">
      <c r="A104" s="3" t="s">
        <v>116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customFormat="false" ht="15" hidden="false" customHeight="false" outlineLevel="0" collapsed="false">
      <c r="A105" s="3" t="s">
        <v>117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customFormat="false" ht="15" hidden="false" customHeight="false" outlineLevel="0" collapsed="false">
      <c r="A106" s="3" t="s">
        <v>118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customFormat="false" ht="15" hidden="false" customHeight="false" outlineLevel="0" collapsed="false">
      <c r="A107" s="3" t="s">
        <v>119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customFormat="false" ht="15" hidden="false" customHeight="false" outlineLevel="0" collapsed="false">
      <c r="A108" s="3" t="s">
        <v>120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customFormat="false" ht="15" hidden="false" customHeight="false" outlineLevel="0" collapsed="false">
      <c r="A109" s="3" t="s">
        <v>121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customFormat="false" ht="15" hidden="false" customHeight="false" outlineLevel="0" collapsed="false">
      <c r="A110" s="3" t="s">
        <v>122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customFormat="false" ht="15" hidden="false" customHeight="false" outlineLevel="0" collapsed="false">
      <c r="A111" s="3" t="s">
        <v>123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customFormat="false" ht="15" hidden="false" customHeight="false" outlineLevel="0" collapsed="false">
      <c r="A112" s="3" t="s">
        <v>124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customFormat="false" ht="15" hidden="false" customHeight="false" outlineLevel="0" collapsed="false">
      <c r="A113" s="3" t="s">
        <v>125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customFormat="false" ht="15" hidden="false" customHeight="false" outlineLevel="0" collapsed="false">
      <c r="A114" s="3" t="s">
        <v>126</v>
      </c>
      <c r="B114" s="4" t="n">
        <v>671.77</v>
      </c>
      <c r="C114" s="4" t="n">
        <v>41.09</v>
      </c>
      <c r="D114" s="4" t="n">
        <v>5.99</v>
      </c>
      <c r="E114" s="4" t="n">
        <v>6.28</v>
      </c>
      <c r="F114" s="4" t="n">
        <v>5.56</v>
      </c>
      <c r="G114" s="4" t="n">
        <v>9.07</v>
      </c>
      <c r="H114" s="3"/>
      <c r="I114" s="4" t="n">
        <v>9.08</v>
      </c>
      <c r="J114" s="4" t="n">
        <v>18.44</v>
      </c>
      <c r="K114" s="4" t="n">
        <v>61.9</v>
      </c>
      <c r="L114" s="4" t="n">
        <v>9.09</v>
      </c>
      <c r="M114" s="4" t="n">
        <v>4.02</v>
      </c>
      <c r="N114" s="4" t="n">
        <v>8.77</v>
      </c>
      <c r="O114" s="4" t="n">
        <v>64.33</v>
      </c>
    </row>
    <row r="115" customFormat="false" ht="15" hidden="false" customHeight="false" outlineLevel="0" collapsed="false">
      <c r="A115" s="3" t="s">
        <v>127</v>
      </c>
      <c r="B115" s="4" t="n">
        <v>667.98</v>
      </c>
      <c r="C115" s="4" t="n">
        <v>41.23</v>
      </c>
      <c r="D115" s="4" t="n">
        <v>6.05</v>
      </c>
      <c r="E115" s="4" t="n">
        <v>6.19</v>
      </c>
      <c r="F115" s="4" t="n">
        <v>5.04</v>
      </c>
      <c r="G115" s="4" t="n">
        <v>8.76</v>
      </c>
      <c r="H115" s="3"/>
      <c r="I115" s="4" t="n">
        <v>8.87</v>
      </c>
      <c r="J115" s="4" t="n">
        <v>18.52</v>
      </c>
      <c r="K115" s="4" t="n">
        <v>63.92</v>
      </c>
      <c r="L115" s="4" t="n">
        <v>9.36</v>
      </c>
      <c r="M115" s="4" t="n">
        <v>3.79</v>
      </c>
      <c r="N115" s="4" t="n">
        <v>8.01</v>
      </c>
      <c r="O115" s="4" t="n">
        <v>63.39</v>
      </c>
    </row>
    <row r="116" customFormat="false" ht="15" hidden="false" customHeight="false" outlineLevel="0" collapsed="false">
      <c r="A116" s="3" t="s">
        <v>128</v>
      </c>
      <c r="B116" s="4" t="n">
        <v>655.32</v>
      </c>
      <c r="C116" s="4" t="n">
        <v>39.96</v>
      </c>
      <c r="D116" s="4" t="n">
        <v>5.88</v>
      </c>
      <c r="E116" s="4" t="n">
        <v>6.11</v>
      </c>
      <c r="F116" s="4" t="n">
        <v>4.87</v>
      </c>
      <c r="G116" s="4" t="n">
        <v>8.36</v>
      </c>
      <c r="H116" s="3"/>
      <c r="I116" s="4" t="n">
        <v>8.55</v>
      </c>
      <c r="J116" s="4" t="n">
        <v>18.57</v>
      </c>
      <c r="K116" s="4" t="n">
        <v>63.61</v>
      </c>
      <c r="L116" s="4" t="n">
        <v>9.16</v>
      </c>
      <c r="M116" s="4" t="n">
        <v>3.76</v>
      </c>
      <c r="N116" s="4" t="n">
        <v>8.14</v>
      </c>
      <c r="O116" s="4" t="n">
        <v>65.19</v>
      </c>
    </row>
    <row r="117" customFormat="false" ht="15" hidden="false" customHeight="false" outlineLevel="0" collapsed="false">
      <c r="A117" s="3" t="s">
        <v>129</v>
      </c>
      <c r="B117" s="4" t="n">
        <v>664.52</v>
      </c>
      <c r="C117" s="4" t="n">
        <v>39.98</v>
      </c>
      <c r="D117" s="4" t="n">
        <v>5.85</v>
      </c>
      <c r="E117" s="4" t="n">
        <v>6.13</v>
      </c>
      <c r="F117" s="4" t="n">
        <v>4.69</v>
      </c>
      <c r="G117" s="4" t="n">
        <v>7.77</v>
      </c>
      <c r="H117" s="3"/>
      <c r="I117" s="4" t="n">
        <v>9.36</v>
      </c>
      <c r="J117" s="4" t="n">
        <v>18.51</v>
      </c>
      <c r="K117" s="4" t="n">
        <v>62.46</v>
      </c>
      <c r="L117" s="4" t="n">
        <v>9.33</v>
      </c>
      <c r="M117" s="4" t="n">
        <v>3.87</v>
      </c>
      <c r="N117" s="4" t="n">
        <v>8.44</v>
      </c>
      <c r="O117" s="4" t="n">
        <v>66.1</v>
      </c>
    </row>
    <row r="118" customFormat="false" ht="15" hidden="false" customHeight="false" outlineLevel="0" collapsed="false">
      <c r="A118" s="3" t="s">
        <v>130</v>
      </c>
      <c r="B118" s="4" t="n">
        <v>644.21</v>
      </c>
      <c r="C118" s="4" t="n">
        <v>39.98</v>
      </c>
      <c r="D118" s="4" t="n">
        <v>5.72</v>
      </c>
      <c r="E118" s="4" t="n">
        <v>5.81</v>
      </c>
      <c r="F118" s="4" t="n">
        <v>4.56</v>
      </c>
      <c r="G118" s="4" t="n">
        <v>8.06</v>
      </c>
      <c r="H118" s="3"/>
      <c r="I118" s="4" t="n">
        <v>8.25</v>
      </c>
      <c r="J118" s="4" t="n">
        <v>18.52</v>
      </c>
      <c r="K118" s="4" t="n">
        <v>62.4</v>
      </c>
      <c r="L118" s="4" t="n">
        <v>8.85</v>
      </c>
      <c r="M118" s="4" t="n">
        <v>3.79</v>
      </c>
      <c r="N118" s="4" t="n">
        <v>8.29</v>
      </c>
      <c r="O118" s="4" t="n">
        <v>64.46</v>
      </c>
    </row>
    <row r="119" customFormat="false" ht="15" hidden="false" customHeight="false" outlineLevel="0" collapsed="false">
      <c r="A119" s="3" t="s">
        <v>131</v>
      </c>
      <c r="B119" s="4" t="n">
        <v>623.92</v>
      </c>
      <c r="C119" s="4" t="n">
        <v>39.57</v>
      </c>
      <c r="D119" s="4" t="n">
        <v>5.59</v>
      </c>
      <c r="E119" s="4" t="n">
        <v>5.63</v>
      </c>
      <c r="F119" s="4" t="n">
        <v>4.37</v>
      </c>
      <c r="G119" s="4" t="n">
        <v>8.15</v>
      </c>
      <c r="H119" s="3"/>
      <c r="I119" s="4" t="n">
        <v>7.05</v>
      </c>
      <c r="J119" s="4" t="n">
        <v>18.39</v>
      </c>
      <c r="K119" s="4" t="n">
        <v>65.58</v>
      </c>
      <c r="L119" s="4" t="n">
        <v>8.76</v>
      </c>
      <c r="M119" s="4" t="n">
        <v>3.78</v>
      </c>
      <c r="N119" s="4" t="n">
        <v>8.41</v>
      </c>
      <c r="O119" s="4" t="n">
        <v>62.3</v>
      </c>
    </row>
    <row r="120" customFormat="false" ht="15" hidden="false" customHeight="false" outlineLevel="0" collapsed="false">
      <c r="A120" s="3" t="s">
        <v>132</v>
      </c>
      <c r="B120" s="4" t="n">
        <v>643.31</v>
      </c>
      <c r="C120" s="4" t="n">
        <v>40.18</v>
      </c>
      <c r="D120" s="4" t="n">
        <v>5.6</v>
      </c>
      <c r="E120" s="4" t="n">
        <v>5.71</v>
      </c>
      <c r="F120" s="4" t="n">
        <v>4.34</v>
      </c>
      <c r="G120" s="4" t="n">
        <v>8.14</v>
      </c>
      <c r="H120" s="3"/>
      <c r="I120" s="4" t="n">
        <v>8.14</v>
      </c>
      <c r="J120" s="4" t="n">
        <v>18.39</v>
      </c>
      <c r="K120" s="4" t="n">
        <v>64.98</v>
      </c>
      <c r="L120" s="4" t="n">
        <v>9.06</v>
      </c>
      <c r="M120" s="4" t="n">
        <v>3.74</v>
      </c>
      <c r="N120" s="4" t="n">
        <v>9.01</v>
      </c>
      <c r="O120" s="4" t="n">
        <v>63.29</v>
      </c>
    </row>
    <row r="121" customFormat="false" ht="15" hidden="false" customHeight="false" outlineLevel="0" collapsed="false">
      <c r="A121" s="3" t="s">
        <v>133</v>
      </c>
      <c r="B121" s="4" t="n">
        <v>626.82</v>
      </c>
      <c r="C121" s="4" t="n">
        <v>40.7</v>
      </c>
      <c r="D121" s="4" t="n">
        <v>5.3</v>
      </c>
      <c r="E121" s="4" t="n">
        <v>5.92</v>
      </c>
      <c r="F121" s="4" t="n">
        <v>4.14</v>
      </c>
      <c r="G121" s="4" t="n">
        <v>8.32</v>
      </c>
      <c r="H121" s="3"/>
      <c r="I121" s="4" t="n">
        <v>6.82</v>
      </c>
      <c r="J121" s="4" t="n">
        <v>18.54</v>
      </c>
      <c r="K121" s="4" t="n">
        <v>61.67</v>
      </c>
      <c r="L121" s="4" t="n">
        <v>8.87</v>
      </c>
      <c r="M121" s="4" t="n">
        <v>3.67</v>
      </c>
      <c r="N121" s="4" t="n">
        <v>9.16</v>
      </c>
      <c r="O121" s="4" t="n">
        <v>62.78</v>
      </c>
    </row>
    <row r="122" customFormat="false" ht="15" hidden="false" customHeight="false" outlineLevel="0" collapsed="false">
      <c r="A122" s="3" t="s">
        <v>134</v>
      </c>
      <c r="B122" s="4" t="n">
        <v>629.43</v>
      </c>
      <c r="C122" s="4" t="n">
        <v>41.3</v>
      </c>
      <c r="D122" s="4" t="n">
        <v>5.21</v>
      </c>
      <c r="E122" s="4" t="n">
        <v>6.06</v>
      </c>
      <c r="F122" s="4" t="n">
        <v>4.1</v>
      </c>
      <c r="G122" s="4" t="n">
        <v>8.39</v>
      </c>
      <c r="H122" s="3"/>
      <c r="I122" s="4" t="n">
        <v>7.1</v>
      </c>
      <c r="J122" s="4" t="n">
        <v>18.48</v>
      </c>
      <c r="K122" s="4" t="n">
        <v>61.34</v>
      </c>
      <c r="L122" s="4" t="n">
        <v>8.71</v>
      </c>
      <c r="M122" s="4" t="n">
        <v>3.67</v>
      </c>
      <c r="N122" s="4" t="n">
        <v>8.62</v>
      </c>
      <c r="O122" s="4" t="n">
        <v>60.9</v>
      </c>
    </row>
    <row r="123" customFormat="false" ht="15" hidden="false" customHeight="false" outlineLevel="0" collapsed="false">
      <c r="A123" s="3" t="s">
        <v>135</v>
      </c>
      <c r="B123" s="4" t="n">
        <v>625.86</v>
      </c>
      <c r="C123" s="4" t="n">
        <v>42.25</v>
      </c>
      <c r="D123" s="4" t="n">
        <v>5.2</v>
      </c>
      <c r="E123" s="4" t="n">
        <v>6.27</v>
      </c>
      <c r="F123" s="4" t="n">
        <v>4.04</v>
      </c>
      <c r="G123" s="4" t="n">
        <v>8.31</v>
      </c>
      <c r="H123" s="3"/>
      <c r="I123" s="4" t="n">
        <v>6.62</v>
      </c>
      <c r="J123" s="4" t="n">
        <v>18.49</v>
      </c>
      <c r="K123" s="4" t="n">
        <v>61.09</v>
      </c>
      <c r="L123" s="4" t="n">
        <v>8.47</v>
      </c>
      <c r="M123" s="4" t="n">
        <v>3.65</v>
      </c>
      <c r="N123" s="4" t="n">
        <v>8.63</v>
      </c>
      <c r="O123" s="4" t="n">
        <v>60.02</v>
      </c>
    </row>
    <row r="124" customFormat="false" ht="15" hidden="false" customHeight="false" outlineLevel="0" collapsed="false">
      <c r="A124" s="3" t="s">
        <v>136</v>
      </c>
      <c r="B124" s="4" t="n">
        <v>630.01</v>
      </c>
      <c r="C124" s="4" t="n">
        <v>41.96</v>
      </c>
      <c r="D124" s="4" t="n">
        <v>5.2</v>
      </c>
      <c r="E124" s="4" t="n">
        <v>6.3</v>
      </c>
      <c r="F124" s="4" t="n">
        <v>4.04</v>
      </c>
      <c r="G124" s="4" t="n">
        <v>8.31</v>
      </c>
      <c r="H124" s="3"/>
      <c r="I124" s="4" t="n">
        <v>6.94</v>
      </c>
      <c r="J124" s="4" t="n">
        <v>18.49</v>
      </c>
      <c r="K124" s="4" t="n">
        <v>59.38</v>
      </c>
      <c r="L124" s="4" t="n">
        <v>8.51</v>
      </c>
      <c r="M124" s="4" t="n">
        <v>3.65</v>
      </c>
      <c r="N124" s="4" t="n">
        <v>8.63</v>
      </c>
      <c r="O124" s="4" t="n">
        <v>62.3</v>
      </c>
    </row>
    <row r="125" customFormat="false" ht="15" hidden="false" customHeight="false" outlineLevel="0" collapsed="false">
      <c r="A125" s="3" t="s">
        <v>137</v>
      </c>
      <c r="B125" s="4" t="n">
        <v>634.26</v>
      </c>
      <c r="C125" s="4" t="n">
        <v>42.05</v>
      </c>
      <c r="D125" s="4" t="n">
        <v>5.22</v>
      </c>
      <c r="E125" s="4" t="n">
        <v>6.58</v>
      </c>
      <c r="F125" s="4" t="n">
        <v>4.15</v>
      </c>
      <c r="G125" s="4" t="n">
        <v>8.35</v>
      </c>
      <c r="H125" s="3"/>
      <c r="I125" s="4" t="n">
        <v>6.99</v>
      </c>
      <c r="J125" s="4" t="n">
        <v>18.64</v>
      </c>
      <c r="K125" s="4" t="n">
        <v>66.16</v>
      </c>
      <c r="L125" s="4" t="n">
        <v>8.52</v>
      </c>
      <c r="M125" s="4" t="n">
        <v>3.66</v>
      </c>
      <c r="N125" s="4" t="n">
        <v>8.82</v>
      </c>
      <c r="O125" s="4" t="n">
        <v>59.79</v>
      </c>
    </row>
    <row r="126" customFormat="false" ht="15" hidden="false" customHeight="false" outlineLevel="0" collapsed="false">
      <c r="A126" s="3" t="s">
        <v>138</v>
      </c>
      <c r="B126" s="4" t="n">
        <v>639.24</v>
      </c>
      <c r="C126" s="4" t="n">
        <v>41.62</v>
      </c>
      <c r="D126" s="4" t="n">
        <v>5.36</v>
      </c>
      <c r="E126" s="4" t="n">
        <v>6.58</v>
      </c>
      <c r="F126" s="4" t="n">
        <v>4.15</v>
      </c>
      <c r="G126" s="4" t="n">
        <v>8.4</v>
      </c>
      <c r="H126" s="3"/>
      <c r="I126" s="4" t="n">
        <v>7.18</v>
      </c>
      <c r="J126" s="4" t="n">
        <v>18.89</v>
      </c>
      <c r="K126" s="4" t="n">
        <v>66.66</v>
      </c>
      <c r="L126" s="4" t="n">
        <v>8.58</v>
      </c>
      <c r="M126" s="4" t="n">
        <v>3.69</v>
      </c>
      <c r="N126" s="4" t="n">
        <v>9.56</v>
      </c>
      <c r="O126" s="4" t="n">
        <v>60.74</v>
      </c>
    </row>
    <row r="127" customFormat="false" ht="15" hidden="false" customHeight="false" outlineLevel="0" collapsed="false">
      <c r="A127" s="3" t="s">
        <v>139</v>
      </c>
      <c r="B127" s="4" t="n">
        <v>651.15</v>
      </c>
      <c r="C127" s="4" t="n">
        <v>42.16</v>
      </c>
      <c r="D127" s="4" t="n">
        <v>5.75</v>
      </c>
      <c r="E127" s="4" t="n">
        <v>6.58</v>
      </c>
      <c r="F127" s="4" t="n">
        <v>4.26</v>
      </c>
      <c r="G127" s="4" t="n">
        <v>8.38</v>
      </c>
      <c r="H127" s="3"/>
      <c r="I127" s="4" t="n">
        <v>7.17</v>
      </c>
      <c r="J127" s="4" t="n">
        <v>19.13</v>
      </c>
      <c r="K127" s="4" t="n">
        <v>68.53</v>
      </c>
      <c r="L127" s="4" t="n">
        <v>9.25</v>
      </c>
      <c r="M127" s="4" t="n">
        <v>3.7</v>
      </c>
      <c r="N127" s="4" t="n">
        <v>9.8</v>
      </c>
      <c r="O127" s="4" t="n">
        <v>60.24</v>
      </c>
    </row>
    <row r="128" customFormat="false" ht="15" hidden="false" customHeight="false" outlineLevel="0" collapsed="false">
      <c r="A128" s="3" t="s">
        <v>140</v>
      </c>
      <c r="B128" s="4" t="n">
        <v>654.73</v>
      </c>
      <c r="C128" s="4" t="n">
        <v>42.47</v>
      </c>
      <c r="D128" s="4" t="n">
        <v>6.06</v>
      </c>
      <c r="E128" s="4" t="n">
        <v>6.77</v>
      </c>
      <c r="F128" s="4" t="n">
        <v>4.37</v>
      </c>
      <c r="G128" s="4" t="n">
        <v>8.31</v>
      </c>
      <c r="H128" s="3"/>
      <c r="I128" s="4" t="n">
        <v>7.26</v>
      </c>
      <c r="J128" s="4" t="n">
        <v>19.13</v>
      </c>
      <c r="K128" s="4" t="n">
        <v>66.2</v>
      </c>
      <c r="L128" s="4" t="n">
        <v>9.23</v>
      </c>
      <c r="M128" s="4" t="n">
        <v>3.66</v>
      </c>
      <c r="N128" s="4" t="n">
        <v>9.73</v>
      </c>
      <c r="O128" s="4" t="n">
        <v>59.23</v>
      </c>
    </row>
    <row r="129" customFormat="false" ht="15" hidden="false" customHeight="false" outlineLevel="0" collapsed="false">
      <c r="A129" s="3" t="s">
        <v>141</v>
      </c>
      <c r="B129" s="4" t="n">
        <v>656.69</v>
      </c>
      <c r="C129" s="4" t="n">
        <v>42.06</v>
      </c>
      <c r="D129" s="4" t="n">
        <v>6.02</v>
      </c>
      <c r="E129" s="4" t="n">
        <v>6.84</v>
      </c>
      <c r="F129" s="4" t="n">
        <v>4.46</v>
      </c>
      <c r="G129" s="4" t="n">
        <v>8.75</v>
      </c>
      <c r="H129" s="3"/>
      <c r="I129" s="4" t="n">
        <v>7.28</v>
      </c>
      <c r="J129" s="4" t="n">
        <v>19.21</v>
      </c>
      <c r="K129" s="4" t="n">
        <v>64.6</v>
      </c>
      <c r="L129" s="4" t="n">
        <v>9.38</v>
      </c>
      <c r="M129" s="4" t="n">
        <v>3.68</v>
      </c>
      <c r="N129" s="4" t="n">
        <v>9.77</v>
      </c>
      <c r="O129" s="4" t="n">
        <v>60.07</v>
      </c>
    </row>
    <row r="130" customFormat="false" ht="15" hidden="false" customHeight="false" outlineLevel="0" collapsed="false">
      <c r="A130" s="3" t="s">
        <v>142</v>
      </c>
      <c r="B130" s="4" t="n">
        <v>661.79</v>
      </c>
      <c r="C130" s="4" t="n">
        <v>40.61</v>
      </c>
      <c r="D130" s="4" t="n">
        <v>6.26</v>
      </c>
      <c r="E130" s="4" t="n">
        <v>7.01</v>
      </c>
      <c r="F130" s="4" t="n">
        <v>4.62</v>
      </c>
      <c r="G130" s="4" t="n">
        <v>10.08</v>
      </c>
      <c r="H130" s="3"/>
      <c r="I130" s="4" t="n">
        <v>7.54</v>
      </c>
      <c r="J130" s="4" t="n">
        <v>19.27</v>
      </c>
      <c r="K130" s="4" t="n">
        <v>61.28</v>
      </c>
      <c r="L130" s="4" t="n">
        <v>9.5</v>
      </c>
      <c r="M130" s="4" t="n">
        <v>4.09</v>
      </c>
      <c r="N130" s="4" t="n">
        <v>9.65</v>
      </c>
      <c r="O130" s="4" t="n">
        <v>60.55</v>
      </c>
    </row>
    <row r="131" customFormat="false" ht="15" hidden="false" customHeight="false" outlineLevel="0" collapsed="false">
      <c r="A131" s="5" t="s">
        <v>143</v>
      </c>
      <c r="B131" s="5" t="n">
        <v>692.94</v>
      </c>
      <c r="C131" s="5" t="n">
        <v>45.36</v>
      </c>
      <c r="D131" s="5" t="n">
        <v>6.78</v>
      </c>
      <c r="E131" s="5" t="n">
        <v>8.97</v>
      </c>
      <c r="F131" s="5" t="n">
        <v>5.1</v>
      </c>
      <c r="G131" s="5" t="n">
        <v>8.73</v>
      </c>
      <c r="H131" s="5"/>
      <c r="I131" s="5" t="n">
        <v>8.24</v>
      </c>
      <c r="J131" s="5" t="n">
        <v>19.45</v>
      </c>
      <c r="K131" s="5" t="n">
        <v>54.37</v>
      </c>
      <c r="L131" s="5" t="n">
        <v>8.71</v>
      </c>
      <c r="M131" s="5" t="n">
        <v>3.62</v>
      </c>
      <c r="N131" s="5" t="n">
        <v>8.69</v>
      </c>
      <c r="O131" s="5" t="n">
        <v>61.93</v>
      </c>
    </row>
    <row r="132" customFormat="false" ht="15" hidden="false" customHeight="false" outlineLevel="0" collapsed="false">
      <c r="A132" s="3" t="s">
        <v>144</v>
      </c>
    </row>
    <row r="133" customFormat="false" ht="15" hidden="false" customHeight="false" outlineLevel="0" collapsed="false">
      <c r="A133" s="3" t="s">
        <v>145</v>
      </c>
    </row>
    <row r="134" customFormat="false" ht="15" hidden="false" customHeight="false" outlineLevel="0" collapsed="false">
      <c r="A134" s="3" t="s">
        <v>146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761D"/>
    <pageSetUpPr fitToPage="false"/>
  </sheetPr>
  <dimension ref="A1:Q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17" min="3" style="0" width="11"/>
  </cols>
  <sheetData>
    <row r="1" customFormat="false" ht="43.5" hidden="false" customHeight="true" outlineLevel="0" collapsed="false">
      <c r="A1" s="6" t="s">
        <v>147</v>
      </c>
      <c r="B1" s="6" t="s">
        <v>148</v>
      </c>
      <c r="C1" s="6" t="s">
        <v>149</v>
      </c>
      <c r="D1" s="6" t="s">
        <v>150</v>
      </c>
      <c r="E1" s="6" t="s">
        <v>151</v>
      </c>
      <c r="F1" s="6" t="s">
        <v>152</v>
      </c>
      <c r="G1" s="6" t="s">
        <v>153</v>
      </c>
      <c r="H1" s="6" t="s">
        <v>154</v>
      </c>
      <c r="I1" s="6" t="s">
        <v>155</v>
      </c>
      <c r="J1" s="6" t="s">
        <v>156</v>
      </c>
      <c r="K1" s="6" t="s">
        <v>157</v>
      </c>
      <c r="L1" s="6" t="s">
        <v>158</v>
      </c>
      <c r="M1" s="6" t="s">
        <v>159</v>
      </c>
      <c r="N1" s="6" t="s">
        <v>160</v>
      </c>
      <c r="O1" s="6" t="s">
        <v>161</v>
      </c>
      <c r="P1" s="6" t="s">
        <v>162</v>
      </c>
      <c r="Q1" s="6" t="s">
        <v>163</v>
      </c>
    </row>
    <row r="2" customFormat="false" ht="15" hidden="false" customHeight="false" outlineLevel="0" collapsed="false">
      <c r="A2" s="7" t="n">
        <v>42370</v>
      </c>
      <c r="B2" s="8" t="n">
        <f aca="false">YEAR(A2)</f>
        <v>2016</v>
      </c>
      <c r="C2" s="9" t="n">
        <v>20.84</v>
      </c>
      <c r="D2" s="9" t="n">
        <v>3.34</v>
      </c>
      <c r="E2" s="9" t="n">
        <v>5.59</v>
      </c>
      <c r="F2" s="9" t="n">
        <v>3.02</v>
      </c>
      <c r="G2" s="9" t="n">
        <v>3.81</v>
      </c>
      <c r="H2" s="9" t="n">
        <v>6.28</v>
      </c>
      <c r="I2" s="9" t="n">
        <v>7.79</v>
      </c>
      <c r="J2" s="9" t="n">
        <v>16.32</v>
      </c>
      <c r="K2" s="9" t="n">
        <v>4.38</v>
      </c>
      <c r="L2" s="9" t="n">
        <v>2.99</v>
      </c>
      <c r="M2" s="9" t="n">
        <v>3.71</v>
      </c>
      <c r="N2" s="9" t="n">
        <v>23.15</v>
      </c>
      <c r="O2" s="10" t="n">
        <v>351.17</v>
      </c>
      <c r="P2" s="9" t="n">
        <f aca="false">VLOOKUP(B2,Análises!$I$6:$J$11,2,FALSE())</f>
        <v>880</v>
      </c>
      <c r="Q2" s="11" t="n">
        <f aca="false">O2/P2</f>
        <v>0.399056818181818</v>
      </c>
    </row>
    <row r="3" customFormat="false" ht="15" hidden="false" customHeight="false" outlineLevel="0" collapsed="false">
      <c r="A3" s="7" t="n">
        <v>42401</v>
      </c>
      <c r="B3" s="8" t="n">
        <f aca="false">YEAR(A3)</f>
        <v>2016</v>
      </c>
      <c r="C3" s="9" t="n">
        <v>20.99</v>
      </c>
      <c r="D3" s="9" t="n">
        <v>3.38</v>
      </c>
      <c r="E3" s="9" t="n">
        <v>5.85</v>
      </c>
      <c r="F3" s="9" t="n">
        <v>3.12</v>
      </c>
      <c r="G3" s="9" t="n">
        <v>4.03</v>
      </c>
      <c r="H3" s="9" t="n">
        <v>5.94</v>
      </c>
      <c r="I3" s="9" t="n">
        <v>7.65</v>
      </c>
      <c r="J3" s="9" t="n">
        <v>16.74</v>
      </c>
      <c r="K3" s="9" t="n">
        <v>4.92</v>
      </c>
      <c r="L3" s="9" t="n">
        <v>3.24</v>
      </c>
      <c r="M3" s="9" t="n">
        <v>3.93</v>
      </c>
      <c r="N3" s="9" t="n">
        <v>24.2</v>
      </c>
      <c r="O3" s="10" t="n">
        <v>355.29</v>
      </c>
      <c r="P3" s="9" t="n">
        <f aca="false">VLOOKUP(B3,Análises!$I$6:$J$11,2,FALSE())</f>
        <v>880</v>
      </c>
      <c r="Q3" s="11" t="n">
        <f aca="false">O3/P3</f>
        <v>0.403738636363636</v>
      </c>
    </row>
    <row r="4" customFormat="false" ht="15" hidden="false" customHeight="false" outlineLevel="0" collapsed="false">
      <c r="A4" s="7" t="n">
        <v>42430</v>
      </c>
      <c r="B4" s="8" t="n">
        <f aca="false">YEAR(A4)</f>
        <v>2016</v>
      </c>
      <c r="C4" s="9" t="n">
        <v>21.03</v>
      </c>
      <c r="D4" s="9" t="n">
        <v>3.49</v>
      </c>
      <c r="E4" s="9" t="n">
        <v>6.2</v>
      </c>
      <c r="F4" s="9" t="n">
        <v>3.08</v>
      </c>
      <c r="G4" s="9" t="n">
        <v>4.5</v>
      </c>
      <c r="H4" s="9" t="n">
        <v>5.2</v>
      </c>
      <c r="I4" s="9" t="n">
        <v>7.65</v>
      </c>
      <c r="J4" s="9" t="n">
        <v>16.75</v>
      </c>
      <c r="K4" s="9" t="n">
        <v>5.51</v>
      </c>
      <c r="L4" s="9" t="n">
        <v>3.3</v>
      </c>
      <c r="M4" s="9" t="n">
        <v>4.05</v>
      </c>
      <c r="N4" s="9" t="n">
        <v>26.5</v>
      </c>
      <c r="O4" s="10" t="n">
        <v>356.56</v>
      </c>
      <c r="P4" s="9" t="n">
        <f aca="false">VLOOKUP(B4,Análises!$I$6:$J$11,2,FALSE())</f>
        <v>880</v>
      </c>
      <c r="Q4" s="11" t="n">
        <f aca="false">O4/P4</f>
        <v>0.405181818181818</v>
      </c>
    </row>
    <row r="5" customFormat="false" ht="15" hidden="false" customHeight="false" outlineLevel="0" collapsed="false">
      <c r="A5" s="7" t="n">
        <v>42461</v>
      </c>
      <c r="B5" s="8" t="n">
        <f aca="false">YEAR(A5)</f>
        <v>2016</v>
      </c>
      <c r="C5" s="9" t="n">
        <v>21.05</v>
      </c>
      <c r="D5" s="9" t="n">
        <v>3.61</v>
      </c>
      <c r="E5" s="9" t="n">
        <v>6.45</v>
      </c>
      <c r="F5" s="9" t="n">
        <v>3.06</v>
      </c>
      <c r="G5" s="9" t="n">
        <v>4.91</v>
      </c>
      <c r="H5" s="9" t="n">
        <v>4.5</v>
      </c>
      <c r="I5" s="9" t="n">
        <v>7.7</v>
      </c>
      <c r="J5" s="9" t="n">
        <v>17.15</v>
      </c>
      <c r="K5" s="9" t="n">
        <v>5.97</v>
      </c>
      <c r="L5" s="9" t="n">
        <v>3.37</v>
      </c>
      <c r="M5" s="9" t="n">
        <v>4.05</v>
      </c>
      <c r="N5" s="9" t="n">
        <v>28.87</v>
      </c>
      <c r="O5" s="10" t="n">
        <v>357.11</v>
      </c>
      <c r="P5" s="9" t="n">
        <f aca="false">VLOOKUP(B5,Análises!$I$6:$J$11,2,FALSE())</f>
        <v>880</v>
      </c>
      <c r="Q5" s="11" t="n">
        <f aca="false">O5/P5</f>
        <v>0.405806818181818</v>
      </c>
    </row>
    <row r="6" customFormat="false" ht="15" hidden="false" customHeight="false" outlineLevel="0" collapsed="false">
      <c r="A6" s="7" t="n">
        <v>42491</v>
      </c>
      <c r="B6" s="8" t="n">
        <f aca="false">YEAR(A6)</f>
        <v>2016</v>
      </c>
      <c r="C6" s="9" t="n">
        <v>21</v>
      </c>
      <c r="D6" s="9" t="n">
        <v>3.62</v>
      </c>
      <c r="E6" s="9" t="n">
        <v>6.86</v>
      </c>
      <c r="F6" s="9" t="n">
        <v>3.11</v>
      </c>
      <c r="G6" s="9" t="n">
        <v>5.07</v>
      </c>
      <c r="H6" s="9" t="n">
        <v>4.23</v>
      </c>
      <c r="I6" s="9" t="n">
        <v>8.02</v>
      </c>
      <c r="J6" s="9" t="n">
        <v>17.92</v>
      </c>
      <c r="K6" s="9" t="n">
        <v>5.96</v>
      </c>
      <c r="L6" s="9" t="n">
        <v>3.28</v>
      </c>
      <c r="M6" s="9" t="n">
        <v>4.04</v>
      </c>
      <c r="N6" s="9" t="n">
        <v>31.7</v>
      </c>
      <c r="O6" s="10" t="n">
        <v>360.12</v>
      </c>
      <c r="P6" s="9" t="n">
        <f aca="false">VLOOKUP(B6,Análises!$I$6:$J$11,2,FALSE())</f>
        <v>880</v>
      </c>
      <c r="Q6" s="11" t="n">
        <f aca="false">O6/P6</f>
        <v>0.409227272727273</v>
      </c>
    </row>
    <row r="7" customFormat="false" ht="15" hidden="false" customHeight="false" outlineLevel="0" collapsed="false">
      <c r="A7" s="7" t="n">
        <v>42522</v>
      </c>
      <c r="B7" s="8" t="n">
        <f aca="false">YEAR(A7)</f>
        <v>2016</v>
      </c>
      <c r="C7" s="9" t="n">
        <v>20.78</v>
      </c>
      <c r="D7" s="9" t="n">
        <v>3.91</v>
      </c>
      <c r="E7" s="9" t="n">
        <v>10.05</v>
      </c>
      <c r="F7" s="9" t="n">
        <v>3.13</v>
      </c>
      <c r="G7" s="9" t="n">
        <v>5.14</v>
      </c>
      <c r="H7" s="9" t="n">
        <v>3.84</v>
      </c>
      <c r="I7" s="9" t="n">
        <v>7.94</v>
      </c>
      <c r="J7" s="9" t="n">
        <v>18.05</v>
      </c>
      <c r="K7" s="9" t="n">
        <v>5.61</v>
      </c>
      <c r="L7" s="9" t="n">
        <v>3.26</v>
      </c>
      <c r="M7" s="9" t="n">
        <v>3.92</v>
      </c>
      <c r="N7" s="9" t="n">
        <v>32.9</v>
      </c>
      <c r="O7" s="10" t="n">
        <v>368.49</v>
      </c>
      <c r="P7" s="9" t="n">
        <f aca="false">VLOOKUP(B7,Análises!$I$6:$J$11,2,FALSE())</f>
        <v>880</v>
      </c>
      <c r="Q7" s="11" t="n">
        <f aca="false">O7/P7</f>
        <v>0.418738636363636</v>
      </c>
    </row>
    <row r="8" customFormat="false" ht="15" hidden="false" customHeight="false" outlineLevel="0" collapsed="false">
      <c r="A8" s="7" t="n">
        <v>42552</v>
      </c>
      <c r="B8" s="8" t="n">
        <f aca="false">YEAR(A8)</f>
        <v>2016</v>
      </c>
      <c r="C8" s="9" t="n">
        <v>20.48</v>
      </c>
      <c r="D8" s="9" t="n">
        <v>4.48</v>
      </c>
      <c r="E8" s="9" t="n">
        <v>12.68</v>
      </c>
      <c r="F8" s="9" t="n">
        <v>3.16</v>
      </c>
      <c r="G8" s="9" t="n">
        <v>5.1</v>
      </c>
      <c r="H8" s="9" t="n">
        <v>3.98</v>
      </c>
      <c r="I8" s="9" t="n">
        <v>8.07</v>
      </c>
      <c r="J8" s="9" t="n">
        <v>18.55</v>
      </c>
      <c r="K8" s="9" t="n">
        <v>5.45</v>
      </c>
      <c r="L8" s="9" t="n">
        <v>3.28</v>
      </c>
      <c r="M8" s="9" t="n">
        <v>3.8</v>
      </c>
      <c r="N8" s="9" t="n">
        <v>34.11</v>
      </c>
      <c r="O8" s="10" t="n">
        <v>384.63</v>
      </c>
      <c r="P8" s="9" t="n">
        <f aca="false">VLOOKUP(B8,Análises!$I$6:$J$11,2,FALSE())</f>
        <v>880</v>
      </c>
      <c r="Q8" s="11" t="n">
        <f aca="false">O8/P8</f>
        <v>0.437079545454545</v>
      </c>
    </row>
    <row r="9" customFormat="false" ht="15" hidden="false" customHeight="false" outlineLevel="0" collapsed="false">
      <c r="A9" s="7" t="n">
        <v>42583</v>
      </c>
      <c r="B9" s="8" t="n">
        <f aca="false">YEAR(A9)</f>
        <v>2016</v>
      </c>
      <c r="C9" s="9" t="n">
        <v>20.42</v>
      </c>
      <c r="D9" s="9" t="n">
        <v>4.6</v>
      </c>
      <c r="E9" s="9" t="n">
        <v>12.16</v>
      </c>
      <c r="F9" s="9" t="n">
        <v>3.3</v>
      </c>
      <c r="G9" s="9" t="n">
        <v>5.21</v>
      </c>
      <c r="H9" s="9" t="n">
        <v>4.08</v>
      </c>
      <c r="I9" s="9" t="n">
        <v>8.07</v>
      </c>
      <c r="J9" s="9" t="n">
        <v>18.95</v>
      </c>
      <c r="K9" s="9" t="n">
        <v>5.56</v>
      </c>
      <c r="L9" s="9" t="n">
        <v>3.31</v>
      </c>
      <c r="M9" s="9" t="n">
        <v>3.68</v>
      </c>
      <c r="N9" s="9" t="n">
        <v>34.8</v>
      </c>
      <c r="O9" s="10" t="n">
        <v>386.2</v>
      </c>
      <c r="P9" s="9" t="n">
        <f aca="false">VLOOKUP(B9,Análises!$I$6:$J$11,2,FALSE())</f>
        <v>880</v>
      </c>
      <c r="Q9" s="11" t="n">
        <f aca="false">O9/P9</f>
        <v>0.438863636363636</v>
      </c>
    </row>
    <row r="10" customFormat="false" ht="15" hidden="false" customHeight="false" outlineLevel="0" collapsed="false">
      <c r="A10" s="7" t="n">
        <v>42614</v>
      </c>
      <c r="B10" s="8" t="n">
        <f aca="false">YEAR(A10)</f>
        <v>2016</v>
      </c>
      <c r="C10" s="9" t="n">
        <v>20.23</v>
      </c>
      <c r="D10" s="9" t="n">
        <v>4.57</v>
      </c>
      <c r="E10" s="9" t="n">
        <v>11.64</v>
      </c>
      <c r="F10" s="9" t="n">
        <v>3.4</v>
      </c>
      <c r="G10" s="9" t="n">
        <v>5.29</v>
      </c>
      <c r="H10" s="9" t="n">
        <v>3.99</v>
      </c>
      <c r="I10" s="9" t="n">
        <v>8.07</v>
      </c>
      <c r="J10" s="9" t="n">
        <v>19.69</v>
      </c>
      <c r="K10" s="9" t="n">
        <v>5.58</v>
      </c>
      <c r="L10" s="9" t="n">
        <v>3.27</v>
      </c>
      <c r="M10" s="9" t="n">
        <v>3.66</v>
      </c>
      <c r="N10" s="9" t="n">
        <v>35.41</v>
      </c>
      <c r="O10" s="10" t="n">
        <v>383.04</v>
      </c>
      <c r="P10" s="9" t="n">
        <f aca="false">VLOOKUP(B10,Análises!$I$6:$J$11,2,FALSE())</f>
        <v>880</v>
      </c>
      <c r="Q10" s="11" t="n">
        <f aca="false">O10/P10</f>
        <v>0.435272727272727</v>
      </c>
    </row>
    <row r="11" customFormat="false" ht="15" hidden="false" customHeight="false" outlineLevel="0" collapsed="false">
      <c r="A11" s="7" t="n">
        <v>42644</v>
      </c>
      <c r="B11" s="8" t="n">
        <f aca="false">YEAR(A11)</f>
        <v>2016</v>
      </c>
      <c r="C11" s="9" t="n">
        <v>20.71</v>
      </c>
      <c r="D11" s="9" t="n">
        <v>4.48</v>
      </c>
      <c r="E11" s="9" t="n">
        <v>11.21</v>
      </c>
      <c r="F11" s="9" t="n">
        <v>3.48</v>
      </c>
      <c r="G11" s="9" t="n">
        <v>5.4</v>
      </c>
      <c r="H11" s="9" t="n">
        <v>4.36</v>
      </c>
      <c r="I11" s="9" t="n">
        <v>8.07</v>
      </c>
      <c r="J11" s="9" t="n">
        <v>19.71</v>
      </c>
      <c r="K11" s="9" t="n">
        <v>5.37</v>
      </c>
      <c r="L11" s="9" t="n">
        <v>3.31</v>
      </c>
      <c r="M11" s="9" t="n">
        <v>3.66</v>
      </c>
      <c r="N11" s="9" t="n">
        <v>35.51</v>
      </c>
      <c r="O11" s="10" t="n">
        <v>386.41</v>
      </c>
      <c r="P11" s="9" t="n">
        <f aca="false">VLOOKUP(B11,Análises!$I$6:$J$11,2,FALSE())</f>
        <v>880</v>
      </c>
      <c r="Q11" s="11" t="n">
        <f aca="false">O11/P11</f>
        <v>0.439102272727273</v>
      </c>
    </row>
    <row r="12" customFormat="false" ht="15" hidden="false" customHeight="false" outlineLevel="0" collapsed="false">
      <c r="A12" s="7" t="n">
        <v>42675</v>
      </c>
      <c r="B12" s="8" t="n">
        <f aca="false">YEAR(A12)</f>
        <v>2016</v>
      </c>
      <c r="C12" s="9" t="n">
        <v>20.81</v>
      </c>
      <c r="D12" s="9" t="n">
        <v>4.21</v>
      </c>
      <c r="E12" s="9" t="n">
        <v>9.6</v>
      </c>
      <c r="F12" s="9" t="n">
        <v>3.6</v>
      </c>
      <c r="G12" s="9" t="n">
        <v>5.68</v>
      </c>
      <c r="H12" s="9" t="n">
        <v>3.84</v>
      </c>
      <c r="I12" s="9" t="n">
        <v>8.07</v>
      </c>
      <c r="J12" s="9" t="n">
        <v>19.95</v>
      </c>
      <c r="K12" s="9" t="n">
        <v>5.13</v>
      </c>
      <c r="L12" s="9" t="n">
        <v>3.6</v>
      </c>
      <c r="M12" s="9" t="n">
        <v>3.76</v>
      </c>
      <c r="N12" s="9" t="n">
        <v>34.37</v>
      </c>
      <c r="O12" s="10" t="n">
        <v>371.42</v>
      </c>
      <c r="P12" s="9" t="n">
        <f aca="false">VLOOKUP(B12,Análises!$I$6:$J$11,2,FALSE())</f>
        <v>880</v>
      </c>
      <c r="Q12" s="11" t="n">
        <f aca="false">O12/P12</f>
        <v>0.422068181818182</v>
      </c>
    </row>
    <row r="13" customFormat="false" ht="15" hidden="false" customHeight="false" outlineLevel="0" collapsed="false">
      <c r="A13" s="7" t="n">
        <v>42705</v>
      </c>
      <c r="B13" s="8" t="n">
        <f aca="false">YEAR(A13)</f>
        <v>2016</v>
      </c>
      <c r="C13" s="9" t="n">
        <v>20.67</v>
      </c>
      <c r="D13" s="9" t="n">
        <v>4.02</v>
      </c>
      <c r="E13" s="9" t="n">
        <v>8.05</v>
      </c>
      <c r="F13" s="9" t="n">
        <v>3.5</v>
      </c>
      <c r="G13" s="9" t="n">
        <v>5.81</v>
      </c>
      <c r="H13" s="9" t="n">
        <v>3.39</v>
      </c>
      <c r="I13" s="9" t="n">
        <v>8.01</v>
      </c>
      <c r="J13" s="9" t="n">
        <v>20.24</v>
      </c>
      <c r="K13" s="9" t="n">
        <v>4.89</v>
      </c>
      <c r="L13" s="9" t="n">
        <v>3.59</v>
      </c>
      <c r="M13" s="9" t="n">
        <v>3.88</v>
      </c>
      <c r="N13" s="9" t="n">
        <v>35.37</v>
      </c>
      <c r="O13" s="10" t="n">
        <v>356.07</v>
      </c>
      <c r="P13" s="9" t="n">
        <f aca="false">VLOOKUP(B13,Análises!$I$6:$J$11,2,FALSE())</f>
        <v>880</v>
      </c>
      <c r="Q13" s="11" t="n">
        <f aca="false">O13/P13</f>
        <v>0.404625</v>
      </c>
    </row>
    <row r="14" customFormat="false" ht="15" hidden="false" customHeight="false" outlineLevel="0" collapsed="false">
      <c r="A14" s="7" t="n">
        <v>42736</v>
      </c>
      <c r="B14" s="8" t="n">
        <f aca="false">YEAR(A14)</f>
        <v>2017</v>
      </c>
      <c r="C14" s="9" t="n">
        <v>21.12</v>
      </c>
      <c r="D14" s="9" t="n">
        <v>3.85</v>
      </c>
      <c r="E14" s="9" t="n">
        <v>6.76</v>
      </c>
      <c r="F14" s="9" t="n">
        <v>3.49</v>
      </c>
      <c r="G14" s="9" t="n">
        <v>5.97</v>
      </c>
      <c r="H14" s="9" t="n">
        <v>3.29</v>
      </c>
      <c r="I14" s="9" t="n">
        <v>8.1</v>
      </c>
      <c r="J14" s="9" t="n">
        <v>20.51</v>
      </c>
      <c r="K14" s="9" t="n">
        <v>5.36</v>
      </c>
      <c r="L14" s="9" t="n">
        <v>3.51</v>
      </c>
      <c r="M14" s="9" t="n">
        <v>4.39</v>
      </c>
      <c r="N14" s="9" t="n">
        <v>34.12</v>
      </c>
      <c r="O14" s="10" t="n">
        <v>353.97</v>
      </c>
      <c r="P14" s="9" t="n">
        <f aca="false">VLOOKUP(B14,Análises!$I$6:$J$11,2,FALSE())</f>
        <v>937</v>
      </c>
      <c r="Q14" s="11" t="n">
        <f aca="false">O14/P14</f>
        <v>0.377769477054429</v>
      </c>
    </row>
    <row r="15" customFormat="false" ht="15" hidden="false" customHeight="false" outlineLevel="0" collapsed="false">
      <c r="A15" s="7" t="n">
        <v>42767</v>
      </c>
      <c r="B15" s="8" t="n">
        <f aca="false">YEAR(A15)</f>
        <v>2017</v>
      </c>
      <c r="C15" s="9" t="n">
        <v>20.79</v>
      </c>
      <c r="D15" s="9" t="n">
        <v>3.76</v>
      </c>
      <c r="E15" s="9" t="n">
        <v>5.93</v>
      </c>
      <c r="F15" s="9" t="n">
        <v>3.49</v>
      </c>
      <c r="G15" s="9" t="n">
        <v>6.33</v>
      </c>
      <c r="H15" s="9" t="n">
        <v>3.43</v>
      </c>
      <c r="I15" s="9" t="n">
        <v>8.27</v>
      </c>
      <c r="J15" s="9" t="n">
        <v>21.02</v>
      </c>
      <c r="K15" s="9" t="n">
        <v>5.4</v>
      </c>
      <c r="L15" s="9" t="n">
        <v>3.52</v>
      </c>
      <c r="M15" s="9" t="n">
        <v>4.47</v>
      </c>
      <c r="N15" s="9" t="n">
        <v>36.63</v>
      </c>
      <c r="O15" s="10" t="n">
        <v>354.45</v>
      </c>
      <c r="P15" s="9" t="n">
        <f aca="false">VLOOKUP(B15,Análises!$I$6:$J$11,2,FALSE())</f>
        <v>937</v>
      </c>
      <c r="Q15" s="11" t="n">
        <f aca="false">O15/P15</f>
        <v>0.378281750266809</v>
      </c>
    </row>
    <row r="16" customFormat="false" ht="15" hidden="false" customHeight="false" outlineLevel="0" collapsed="false">
      <c r="A16" s="7" t="n">
        <v>42795</v>
      </c>
      <c r="B16" s="8" t="n">
        <f aca="false">YEAR(A16)</f>
        <v>2017</v>
      </c>
      <c r="C16" s="9" t="n">
        <v>20.93</v>
      </c>
      <c r="D16" s="9" t="n">
        <v>3.88</v>
      </c>
      <c r="E16" s="9" t="n">
        <v>5.21</v>
      </c>
      <c r="F16" s="9" t="n">
        <v>3.44</v>
      </c>
      <c r="G16" s="9" t="n">
        <v>6.41</v>
      </c>
      <c r="H16" s="9" t="n">
        <v>4.15</v>
      </c>
      <c r="I16" s="9" t="n">
        <v>8.27</v>
      </c>
      <c r="J16" s="9" t="n">
        <v>20.74</v>
      </c>
      <c r="K16" s="9" t="n">
        <v>5.81</v>
      </c>
      <c r="L16" s="9" t="n">
        <v>3.36</v>
      </c>
      <c r="M16" s="9" t="n">
        <v>4.32</v>
      </c>
      <c r="N16" s="9" t="n">
        <v>37.51</v>
      </c>
      <c r="O16" s="10" t="n">
        <v>364.28</v>
      </c>
      <c r="P16" s="9" t="n">
        <f aca="false">VLOOKUP(B16,Análises!$I$6:$J$11,2,FALSE())</f>
        <v>937</v>
      </c>
      <c r="Q16" s="11" t="n">
        <f aca="false">O16/P16</f>
        <v>0.388772678762006</v>
      </c>
    </row>
    <row r="17" customFormat="false" ht="15" hidden="false" customHeight="false" outlineLevel="0" collapsed="false">
      <c r="A17" s="7" t="n">
        <v>42826</v>
      </c>
      <c r="B17" s="8" t="n">
        <f aca="false">YEAR(A17)</f>
        <v>2017</v>
      </c>
      <c r="C17" s="9" t="n">
        <v>20.5</v>
      </c>
      <c r="D17" s="9" t="n">
        <v>3.76</v>
      </c>
      <c r="E17" s="9" t="n">
        <v>4.97</v>
      </c>
      <c r="F17" s="9" t="n">
        <v>3.34</v>
      </c>
      <c r="G17" s="9" t="n">
        <v>6.67</v>
      </c>
      <c r="H17" s="9" t="n">
        <v>4.68</v>
      </c>
      <c r="I17" s="9" t="n">
        <v>8.15</v>
      </c>
      <c r="J17" s="9" t="n">
        <v>21.08</v>
      </c>
      <c r="K17" s="9" t="n">
        <v>5.63</v>
      </c>
      <c r="L17" s="9" t="n">
        <v>3.33</v>
      </c>
      <c r="M17" s="9" t="n">
        <v>4.1</v>
      </c>
      <c r="N17" s="9" t="n">
        <v>38.21</v>
      </c>
      <c r="O17" s="10" t="n">
        <v>365.57</v>
      </c>
      <c r="P17" s="9" t="n">
        <f aca="false">VLOOKUP(B17,Análises!$I$6:$J$11,2,FALSE())</f>
        <v>937</v>
      </c>
      <c r="Q17" s="11" t="n">
        <f aca="false">O17/P17</f>
        <v>0.390149413020277</v>
      </c>
    </row>
    <row r="18" customFormat="false" ht="15" hidden="false" customHeight="false" outlineLevel="0" collapsed="false">
      <c r="A18" s="7" t="n">
        <v>42856</v>
      </c>
      <c r="B18" s="8" t="n">
        <f aca="false">YEAR(A18)</f>
        <v>2017</v>
      </c>
      <c r="C18" s="9" t="n">
        <v>20.59</v>
      </c>
      <c r="D18" s="9" t="n">
        <v>3.66</v>
      </c>
      <c r="E18" s="9" t="n">
        <v>4.84</v>
      </c>
      <c r="F18" s="9" t="n">
        <v>3.24</v>
      </c>
      <c r="G18" s="9" t="n">
        <v>6.68</v>
      </c>
      <c r="H18" s="9" t="n">
        <v>4.64</v>
      </c>
      <c r="I18" s="9" t="n">
        <v>8.23</v>
      </c>
      <c r="J18" s="9" t="n">
        <v>21.13</v>
      </c>
      <c r="K18" s="9" t="n">
        <v>5.66</v>
      </c>
      <c r="L18" s="9" t="n">
        <v>3.2</v>
      </c>
      <c r="M18" s="9" t="n">
        <v>3.9</v>
      </c>
      <c r="N18" s="9" t="n">
        <v>39.13</v>
      </c>
      <c r="O18" s="10" t="n">
        <v>364.8</v>
      </c>
      <c r="P18" s="9" t="n">
        <f aca="false">VLOOKUP(B18,Análises!$I$6:$J$11,2,FALSE())</f>
        <v>937</v>
      </c>
      <c r="Q18" s="11" t="n">
        <f aca="false">O18/P18</f>
        <v>0.389327641408751</v>
      </c>
    </row>
    <row r="19" customFormat="false" ht="15" hidden="false" customHeight="false" outlineLevel="0" collapsed="false">
      <c r="A19" s="7" t="n">
        <v>42887</v>
      </c>
      <c r="B19" s="8" t="n">
        <f aca="false">YEAR(A19)</f>
        <v>2017</v>
      </c>
      <c r="C19" s="9" t="n">
        <v>20.31</v>
      </c>
      <c r="D19" s="9" t="n">
        <v>3.66</v>
      </c>
      <c r="E19" s="9" t="n">
        <v>6.83</v>
      </c>
      <c r="F19" s="9" t="n">
        <v>3.19</v>
      </c>
      <c r="G19" s="9" t="n">
        <v>6.2</v>
      </c>
      <c r="H19" s="9" t="n">
        <v>4.19</v>
      </c>
      <c r="I19" s="9" t="n">
        <v>8.54</v>
      </c>
      <c r="J19" s="9" t="n">
        <v>20.87</v>
      </c>
      <c r="K19" s="9" t="n">
        <v>5.35</v>
      </c>
      <c r="L19" s="9" t="n">
        <v>3.06</v>
      </c>
      <c r="M19" s="9" t="n">
        <v>3.7</v>
      </c>
      <c r="N19" s="9" t="n">
        <v>40.73</v>
      </c>
      <c r="O19" s="10" t="n">
        <v>365.52</v>
      </c>
      <c r="P19" s="9" t="n">
        <f aca="false">VLOOKUP(B19,Análises!$I$6:$J$11,2,FALSE())</f>
        <v>937</v>
      </c>
      <c r="Q19" s="11" t="n">
        <f aca="false">O19/P19</f>
        <v>0.390096051227321</v>
      </c>
    </row>
    <row r="20" customFormat="false" ht="15" hidden="false" customHeight="false" outlineLevel="0" collapsed="false">
      <c r="A20" s="7" t="n">
        <v>42917</v>
      </c>
      <c r="B20" s="8" t="n">
        <f aca="false">YEAR(A20)</f>
        <v>2017</v>
      </c>
      <c r="C20" s="9" t="n">
        <v>19.92</v>
      </c>
      <c r="D20" s="9" t="n">
        <v>3.54</v>
      </c>
      <c r="E20" s="9" t="n">
        <v>6.29</v>
      </c>
      <c r="F20" s="9" t="n">
        <v>3.12</v>
      </c>
      <c r="G20" s="9" t="n">
        <v>5.88</v>
      </c>
      <c r="H20" s="9" t="n">
        <v>4.8</v>
      </c>
      <c r="I20" s="9" t="n">
        <v>8.54</v>
      </c>
      <c r="J20" s="9" t="n">
        <v>20.58</v>
      </c>
      <c r="K20" s="9" t="n">
        <v>5.3</v>
      </c>
      <c r="L20" s="9" t="n">
        <v>2.99</v>
      </c>
      <c r="M20" s="9" t="n">
        <v>3.67</v>
      </c>
      <c r="N20" s="9" t="n">
        <v>42.84</v>
      </c>
      <c r="O20" s="10" t="n">
        <v>367.59</v>
      </c>
      <c r="P20" s="9" t="n">
        <f aca="false">VLOOKUP(B20,Análises!$I$6:$J$11,2,FALSE())</f>
        <v>937</v>
      </c>
      <c r="Q20" s="11" t="n">
        <f aca="false">O20/P20</f>
        <v>0.39230522945571</v>
      </c>
    </row>
    <row r="21" customFormat="false" ht="15" hidden="false" customHeight="false" outlineLevel="0" collapsed="false">
      <c r="A21" s="7" t="n">
        <v>42948</v>
      </c>
      <c r="B21" s="8" t="n">
        <f aca="false">YEAR(A21)</f>
        <v>2017</v>
      </c>
      <c r="C21" s="9" t="n">
        <v>19.84</v>
      </c>
      <c r="D21" s="9" t="n">
        <v>3.54</v>
      </c>
      <c r="E21" s="9" t="n">
        <v>5.3</v>
      </c>
      <c r="F21" s="9" t="n">
        <v>3.1</v>
      </c>
      <c r="G21" s="9" t="n">
        <v>5.78</v>
      </c>
      <c r="H21" s="9" t="n">
        <v>4.15</v>
      </c>
      <c r="I21" s="9" t="n">
        <v>8.43</v>
      </c>
      <c r="J21" s="9" t="n">
        <v>20.69</v>
      </c>
      <c r="K21" s="9" t="n">
        <v>5.11</v>
      </c>
      <c r="L21" s="9" t="n">
        <v>2.96</v>
      </c>
      <c r="M21" s="9" t="n">
        <v>3.59</v>
      </c>
      <c r="N21" s="9" t="n">
        <v>42.8</v>
      </c>
      <c r="O21" s="10" t="n">
        <v>352.36</v>
      </c>
      <c r="P21" s="9" t="n">
        <f aca="false">VLOOKUP(B21,Análises!$I$6:$J$11,2,FALSE())</f>
        <v>937</v>
      </c>
      <c r="Q21" s="11" t="n">
        <f aca="false">O21/P21</f>
        <v>0.376051227321238</v>
      </c>
    </row>
    <row r="22" customFormat="false" ht="15" hidden="false" customHeight="false" outlineLevel="0" collapsed="false">
      <c r="A22" s="7" t="n">
        <v>42979</v>
      </c>
      <c r="B22" s="8" t="n">
        <f aca="false">YEAR(A22)</f>
        <v>2017</v>
      </c>
      <c r="C22" s="9" t="n">
        <v>20</v>
      </c>
      <c r="D22" s="9" t="n">
        <v>3.49</v>
      </c>
      <c r="E22" s="9" t="n">
        <v>4.6</v>
      </c>
      <c r="F22" s="9" t="n">
        <v>2.99</v>
      </c>
      <c r="G22" s="9" t="n">
        <v>5.68</v>
      </c>
      <c r="H22" s="9" t="n">
        <v>3.5</v>
      </c>
      <c r="I22" s="9" t="n">
        <v>8.33</v>
      </c>
      <c r="J22" s="9" t="n">
        <v>20.57</v>
      </c>
      <c r="K22" s="9" t="n">
        <v>5.04</v>
      </c>
      <c r="L22" s="9" t="n">
        <v>2.72</v>
      </c>
      <c r="M22" s="9" t="n">
        <v>3.49</v>
      </c>
      <c r="N22" s="9" t="n">
        <v>41.79</v>
      </c>
      <c r="O22" s="10" t="n">
        <v>338.38</v>
      </c>
      <c r="P22" s="9" t="n">
        <f aca="false">VLOOKUP(B22,Análises!$I$6:$J$11,2,FALSE())</f>
        <v>937</v>
      </c>
      <c r="Q22" s="11" t="n">
        <f aca="false">O22/P22</f>
        <v>0.361131270010672</v>
      </c>
    </row>
    <row r="23" customFormat="false" ht="15" hidden="false" customHeight="false" outlineLevel="0" collapsed="false">
      <c r="A23" s="7" t="n">
        <v>43009</v>
      </c>
      <c r="B23" s="8" t="n">
        <f aca="false">YEAR(A23)</f>
        <v>2017</v>
      </c>
      <c r="C23" s="9" t="n">
        <v>20.4</v>
      </c>
      <c r="D23" s="9" t="n">
        <v>3.37</v>
      </c>
      <c r="E23" s="9" t="n">
        <v>4.36</v>
      </c>
      <c r="F23" s="9" t="n">
        <v>3</v>
      </c>
      <c r="G23" s="9" t="n">
        <v>5.58</v>
      </c>
      <c r="H23" s="9" t="n">
        <v>3.58</v>
      </c>
      <c r="I23" s="9" t="n">
        <v>8.26</v>
      </c>
      <c r="J23" s="9" t="n">
        <v>20.36</v>
      </c>
      <c r="K23" s="9" t="n">
        <v>5</v>
      </c>
      <c r="L23" s="9" t="n">
        <v>2.59</v>
      </c>
      <c r="M23" s="9" t="n">
        <v>3.52</v>
      </c>
      <c r="N23" s="9" t="n">
        <v>41.02</v>
      </c>
      <c r="O23" s="10" t="n">
        <v>337.37</v>
      </c>
      <c r="P23" s="9" t="n">
        <f aca="false">VLOOKUP(B23,Análises!$I$6:$J$11,2,FALSE())</f>
        <v>937</v>
      </c>
      <c r="Q23" s="11" t="n">
        <f aca="false">O23/P23</f>
        <v>0.360053361792956</v>
      </c>
    </row>
    <row r="24" customFormat="false" ht="15" hidden="false" customHeight="false" outlineLevel="0" collapsed="false">
      <c r="A24" s="7" t="n">
        <v>43040</v>
      </c>
      <c r="B24" s="8" t="n">
        <f aca="false">YEAR(A24)</f>
        <v>2017</v>
      </c>
      <c r="C24" s="9" t="n">
        <v>20.37</v>
      </c>
      <c r="D24" s="9" t="n">
        <v>3.39</v>
      </c>
      <c r="E24" s="9" t="n">
        <v>4.3</v>
      </c>
      <c r="F24" s="9" t="n">
        <v>2.94</v>
      </c>
      <c r="G24" s="9" t="n">
        <v>5.71</v>
      </c>
      <c r="H24" s="9" t="n">
        <v>3.26</v>
      </c>
      <c r="I24" s="9" t="n">
        <v>8.26</v>
      </c>
      <c r="J24" s="9" t="n">
        <v>20.37</v>
      </c>
      <c r="K24" s="9" t="n">
        <v>4.97</v>
      </c>
      <c r="L24" s="9" t="n">
        <v>2.58</v>
      </c>
      <c r="M24" s="9" t="n">
        <v>3.64</v>
      </c>
      <c r="N24" s="9" t="n">
        <v>40.83</v>
      </c>
      <c r="O24" s="10" t="n">
        <v>333.14</v>
      </c>
      <c r="P24" s="9" t="n">
        <f aca="false">VLOOKUP(B24,Análises!$I$6:$J$11,2,FALSE())</f>
        <v>937</v>
      </c>
      <c r="Q24" s="11" t="n">
        <f aca="false">O24/P24</f>
        <v>0.355538954108858</v>
      </c>
    </row>
    <row r="25" customFormat="false" ht="15" hidden="false" customHeight="false" outlineLevel="0" collapsed="false">
      <c r="A25" s="7" t="n">
        <v>43070</v>
      </c>
      <c r="B25" s="8" t="n">
        <f aca="false">YEAR(A25)</f>
        <v>2017</v>
      </c>
      <c r="C25" s="9" t="n">
        <v>20.81</v>
      </c>
      <c r="D25" s="9" t="n">
        <v>3.34</v>
      </c>
      <c r="E25" s="9" t="n">
        <v>4.09</v>
      </c>
      <c r="F25" s="9" t="n">
        <v>2.91</v>
      </c>
      <c r="G25" s="9" t="n">
        <v>5.8</v>
      </c>
      <c r="H25" s="9" t="n">
        <v>3.34</v>
      </c>
      <c r="I25" s="9" t="n">
        <v>8.26</v>
      </c>
      <c r="J25" s="9" t="n">
        <v>20.19</v>
      </c>
      <c r="K25" s="9" t="n">
        <v>4.94</v>
      </c>
      <c r="L25" s="9" t="n">
        <v>2.62</v>
      </c>
      <c r="M25" s="9" t="n">
        <v>3.67</v>
      </c>
      <c r="N25" s="9" t="n">
        <v>39.82</v>
      </c>
      <c r="O25" s="10" t="n">
        <v>334.13</v>
      </c>
      <c r="P25" s="9" t="n">
        <f aca="false">VLOOKUP(B25,Análises!$I$6:$J$11,2,FALSE())</f>
        <v>937</v>
      </c>
      <c r="Q25" s="11" t="n">
        <f aca="false">O25/P25</f>
        <v>0.356595517609392</v>
      </c>
    </row>
    <row r="26" customFormat="false" ht="15" hidden="false" customHeight="false" outlineLevel="0" collapsed="false">
      <c r="A26" s="7" t="n">
        <v>43101</v>
      </c>
      <c r="B26" s="8" t="n">
        <f aca="false">YEAR(A26)</f>
        <v>2018</v>
      </c>
      <c r="C26" s="9" t="n">
        <v>20.89</v>
      </c>
      <c r="D26" s="9" t="n">
        <v>3.23</v>
      </c>
      <c r="E26" s="9" t="n">
        <v>3.84</v>
      </c>
      <c r="F26" s="9" t="n">
        <v>2.9</v>
      </c>
      <c r="G26" s="9" t="n">
        <v>5.72</v>
      </c>
      <c r="H26" s="9" t="n">
        <v>5.13</v>
      </c>
      <c r="I26" s="9" t="n">
        <v>8.2</v>
      </c>
      <c r="J26" s="9" t="n">
        <v>20.01</v>
      </c>
      <c r="K26" s="9" t="n">
        <v>5.27</v>
      </c>
      <c r="L26" s="9" t="n">
        <v>2.46</v>
      </c>
      <c r="M26" s="9" t="n">
        <v>3.74</v>
      </c>
      <c r="N26" s="9" t="n">
        <v>39.38</v>
      </c>
      <c r="O26" s="10" t="n">
        <v>355.22</v>
      </c>
      <c r="P26" s="9" t="n">
        <f aca="false">VLOOKUP(B26,Análises!$I$6:$J$11,2,FALSE())</f>
        <v>954</v>
      </c>
      <c r="Q26" s="11" t="n">
        <f aca="false">O26/P26</f>
        <v>0.372348008385744</v>
      </c>
    </row>
    <row r="27" customFormat="false" ht="15" hidden="false" customHeight="false" outlineLevel="0" collapsed="false">
      <c r="A27" s="7" t="n">
        <v>43132</v>
      </c>
      <c r="B27" s="8" t="n">
        <f aca="false">YEAR(A27)</f>
        <v>2018</v>
      </c>
      <c r="C27" s="9" t="n">
        <v>20.48</v>
      </c>
      <c r="D27" s="9" t="n">
        <v>3.3</v>
      </c>
      <c r="E27" s="9" t="n">
        <v>3.64</v>
      </c>
      <c r="F27" s="9" t="n">
        <v>2.84</v>
      </c>
      <c r="G27" s="9" t="n">
        <v>5.61</v>
      </c>
      <c r="H27" s="9" t="n">
        <v>5.6</v>
      </c>
      <c r="I27" s="9" t="n">
        <v>8.2</v>
      </c>
      <c r="J27" s="9" t="n">
        <v>19.66</v>
      </c>
      <c r="K27" s="9" t="n">
        <v>5.25</v>
      </c>
      <c r="L27" s="9" t="n">
        <v>2.4</v>
      </c>
      <c r="M27" s="9" t="n">
        <v>3.71</v>
      </c>
      <c r="N27" s="9" t="n">
        <v>38.35</v>
      </c>
      <c r="O27" s="10" t="n">
        <v>356.74</v>
      </c>
      <c r="P27" s="9" t="n">
        <f aca="false">VLOOKUP(B27,Análises!$I$6:$J$11,2,FALSE())</f>
        <v>954</v>
      </c>
      <c r="Q27" s="11" t="n">
        <f aca="false">O27/P27</f>
        <v>0.373941299790356</v>
      </c>
    </row>
    <row r="28" customFormat="false" ht="15" hidden="false" customHeight="false" outlineLevel="0" collapsed="false">
      <c r="A28" s="7" t="n">
        <v>43160</v>
      </c>
      <c r="B28" s="8" t="n">
        <f aca="false">YEAR(A28)</f>
        <v>2018</v>
      </c>
      <c r="C28" s="9" t="n">
        <v>20.68</v>
      </c>
      <c r="D28" s="9" t="n">
        <v>3.34</v>
      </c>
      <c r="E28" s="9" t="n">
        <v>3.51</v>
      </c>
      <c r="F28" s="9" t="n">
        <v>2.8</v>
      </c>
      <c r="G28" s="9" t="n">
        <v>5.56</v>
      </c>
      <c r="H28" s="9" t="n">
        <v>5.15</v>
      </c>
      <c r="I28" s="9" t="n">
        <v>8.2</v>
      </c>
      <c r="J28" s="9" t="n">
        <v>19.54</v>
      </c>
      <c r="K28" s="9" t="n">
        <v>5.43</v>
      </c>
      <c r="L28" s="9" t="n">
        <v>2.41</v>
      </c>
      <c r="M28" s="9" t="n">
        <v>3.66</v>
      </c>
      <c r="N28" s="9" t="n">
        <v>38.69</v>
      </c>
      <c r="O28" s="10" t="n">
        <v>353.16</v>
      </c>
      <c r="P28" s="9" t="n">
        <f aca="false">VLOOKUP(B28,Análises!$I$6:$J$11,2,FALSE())</f>
        <v>954</v>
      </c>
      <c r="Q28" s="11" t="n">
        <f aca="false">O28/P28</f>
        <v>0.370188679245283</v>
      </c>
    </row>
    <row r="29" customFormat="false" ht="15" hidden="false" customHeight="false" outlineLevel="0" collapsed="false">
      <c r="A29" s="7" t="n">
        <v>43191</v>
      </c>
      <c r="B29" s="8" t="n">
        <f aca="false">YEAR(A29)</f>
        <v>2018</v>
      </c>
      <c r="C29" s="9" t="n">
        <v>20.62</v>
      </c>
      <c r="D29" s="9" t="n">
        <v>3.48</v>
      </c>
      <c r="E29" s="9" t="n">
        <v>3.41</v>
      </c>
      <c r="F29" s="9" t="n">
        <v>2.81</v>
      </c>
      <c r="G29" s="9" t="n">
        <v>5.63</v>
      </c>
      <c r="H29" s="9" t="n">
        <v>4.54</v>
      </c>
      <c r="I29" s="9" t="n">
        <v>8.13</v>
      </c>
      <c r="J29" s="9" t="n">
        <v>19.07</v>
      </c>
      <c r="K29" s="9" t="n">
        <v>5.49</v>
      </c>
      <c r="L29" s="9" t="n">
        <v>2.35</v>
      </c>
      <c r="M29" s="9" t="n">
        <v>3.6</v>
      </c>
      <c r="N29" s="9" t="n">
        <v>37.98</v>
      </c>
      <c r="O29" s="10" t="n">
        <v>345.33</v>
      </c>
      <c r="P29" s="9" t="n">
        <f aca="false">VLOOKUP(B29,Análises!$I$6:$J$11,2,FALSE())</f>
        <v>954</v>
      </c>
      <c r="Q29" s="11" t="n">
        <f aca="false">O29/P29</f>
        <v>0.361981132075472</v>
      </c>
    </row>
    <row r="30" customFormat="false" ht="15" hidden="false" customHeight="false" outlineLevel="0" collapsed="false">
      <c r="A30" s="7" t="n">
        <v>43221</v>
      </c>
      <c r="B30" s="8" t="n">
        <f aca="false">YEAR(A30)</f>
        <v>2018</v>
      </c>
      <c r="C30" s="9" t="n">
        <v>20.76</v>
      </c>
      <c r="D30" s="9" t="n">
        <v>3.59</v>
      </c>
      <c r="E30" s="9" t="n">
        <v>3.34</v>
      </c>
      <c r="F30" s="9" t="n">
        <v>2.82</v>
      </c>
      <c r="G30" s="9" t="n">
        <v>5.58</v>
      </c>
      <c r="H30" s="9" t="n">
        <v>4.56</v>
      </c>
      <c r="I30" s="9" t="n">
        <v>8.25</v>
      </c>
      <c r="J30" s="9" t="n">
        <v>19.17</v>
      </c>
      <c r="K30" s="9" t="n">
        <v>5.59</v>
      </c>
      <c r="L30" s="9" t="n">
        <v>2.4</v>
      </c>
      <c r="M30" s="9" t="n">
        <v>3.62</v>
      </c>
      <c r="N30" s="9" t="n">
        <v>40.51</v>
      </c>
      <c r="O30" s="10" t="n">
        <v>349.98</v>
      </c>
      <c r="P30" s="9" t="n">
        <f aca="false">VLOOKUP(B30,Análises!$I$6:$J$11,2,FALSE())</f>
        <v>954</v>
      </c>
      <c r="Q30" s="11" t="n">
        <f aca="false">O30/P30</f>
        <v>0.36685534591195</v>
      </c>
    </row>
    <row r="31" customFormat="false" ht="15" hidden="false" customHeight="false" outlineLevel="0" collapsed="false">
      <c r="A31" s="7" t="n">
        <v>43252</v>
      </c>
      <c r="B31" s="8" t="n">
        <f aca="false">YEAR(A31)</f>
        <v>2018</v>
      </c>
      <c r="C31" s="9" t="n">
        <v>21.4</v>
      </c>
      <c r="D31" s="9" t="n">
        <v>3.83</v>
      </c>
      <c r="E31" s="9" t="n">
        <v>3.44</v>
      </c>
      <c r="F31" s="9" t="n">
        <v>2.86</v>
      </c>
      <c r="G31" s="9" t="n">
        <v>5.72</v>
      </c>
      <c r="H31" s="9" t="n">
        <v>4.8</v>
      </c>
      <c r="I31" s="9" t="n">
        <v>8.29</v>
      </c>
      <c r="J31" s="9" t="n">
        <v>18.78</v>
      </c>
      <c r="K31" s="9" t="n">
        <v>5.77</v>
      </c>
      <c r="L31" s="9" t="n">
        <v>2.45</v>
      </c>
      <c r="M31" s="9" t="n">
        <v>3.62</v>
      </c>
      <c r="N31" s="9" t="n">
        <v>39.02</v>
      </c>
      <c r="O31" s="10" t="n">
        <v>358.71</v>
      </c>
      <c r="P31" s="9" t="n">
        <f aca="false">VLOOKUP(B31,Análises!$I$6:$J$11,2,FALSE())</f>
        <v>954</v>
      </c>
      <c r="Q31" s="11" t="n">
        <f aca="false">O31/P31</f>
        <v>0.376006289308176</v>
      </c>
    </row>
    <row r="32" customFormat="false" ht="15" hidden="false" customHeight="false" outlineLevel="0" collapsed="false">
      <c r="A32" s="7" t="n">
        <v>43282</v>
      </c>
      <c r="B32" s="8" t="n">
        <f aca="false">YEAR(A32)</f>
        <v>2018</v>
      </c>
      <c r="C32" s="9" t="n">
        <v>20.61</v>
      </c>
      <c r="D32" s="9" t="n">
        <v>4.59</v>
      </c>
      <c r="E32" s="9" t="n">
        <v>3.48</v>
      </c>
      <c r="F32" s="9" t="n">
        <v>2.92</v>
      </c>
      <c r="G32" s="9" t="n">
        <v>5.22</v>
      </c>
      <c r="H32" s="9" t="n">
        <v>3.42</v>
      </c>
      <c r="I32" s="9" t="n">
        <v>8.19</v>
      </c>
      <c r="J32" s="9" t="n">
        <v>18.75</v>
      </c>
      <c r="K32" s="9" t="n">
        <v>5.2</v>
      </c>
      <c r="L32" s="9" t="n">
        <v>2.41</v>
      </c>
      <c r="M32" s="9" t="n">
        <v>3.6</v>
      </c>
      <c r="N32" s="9" t="n">
        <v>38.54</v>
      </c>
      <c r="O32" s="10" t="n">
        <v>336.67</v>
      </c>
      <c r="P32" s="9" t="n">
        <f aca="false">VLOOKUP(B32,Análises!$I$6:$J$11,2,FALSE())</f>
        <v>954</v>
      </c>
      <c r="Q32" s="11" t="n">
        <f aca="false">O32/P32</f>
        <v>0.3529035639413</v>
      </c>
    </row>
    <row r="33" customFormat="false" ht="15" hidden="false" customHeight="false" outlineLevel="0" collapsed="false">
      <c r="A33" s="7" t="n">
        <v>43313</v>
      </c>
      <c r="B33" s="8" t="n">
        <f aca="false">YEAR(A33)</f>
        <v>2018</v>
      </c>
      <c r="C33" s="9" t="n">
        <v>20.6</v>
      </c>
      <c r="D33" s="9" t="n">
        <v>4.56</v>
      </c>
      <c r="E33" s="9" t="n">
        <v>3.5</v>
      </c>
      <c r="F33" s="9" t="n">
        <v>2.93</v>
      </c>
      <c r="G33" s="9" t="n">
        <v>5.15</v>
      </c>
      <c r="H33" s="9" t="n">
        <v>2.82</v>
      </c>
      <c r="I33" s="9" t="n">
        <v>8.31</v>
      </c>
      <c r="J33" s="9" t="n">
        <v>18.92</v>
      </c>
      <c r="K33" s="9" t="n">
        <v>5.02</v>
      </c>
      <c r="L33" s="9" t="n">
        <v>2.43</v>
      </c>
      <c r="M33" s="9" t="n">
        <v>3.63</v>
      </c>
      <c r="N33" s="9" t="n">
        <v>39.55</v>
      </c>
      <c r="O33" s="10" t="n">
        <v>329.42</v>
      </c>
      <c r="P33" s="9" t="n">
        <f aca="false">VLOOKUP(B33,Análises!$I$6:$J$11,2,FALSE())</f>
        <v>954</v>
      </c>
      <c r="Q33" s="11" t="n">
        <f aca="false">O33/P33</f>
        <v>0.345303983228512</v>
      </c>
    </row>
    <row r="34" customFormat="false" ht="15" hidden="false" customHeight="false" outlineLevel="0" collapsed="false">
      <c r="A34" s="7" t="n">
        <v>43344</v>
      </c>
      <c r="B34" s="8" t="n">
        <f aca="false">YEAR(A34)</f>
        <v>2018</v>
      </c>
      <c r="C34" s="9" t="n">
        <v>20.72</v>
      </c>
      <c r="D34" s="9" t="n">
        <v>4.4</v>
      </c>
      <c r="E34" s="9" t="n">
        <v>3.49</v>
      </c>
      <c r="F34" s="9" t="n">
        <v>3.03</v>
      </c>
      <c r="G34" s="9" t="n">
        <v>4.79</v>
      </c>
      <c r="H34" s="9" t="n">
        <v>2.75</v>
      </c>
      <c r="I34" s="9" t="n">
        <v>8.25</v>
      </c>
      <c r="J34" s="9" t="n">
        <v>18.45</v>
      </c>
      <c r="K34" s="9" t="n">
        <v>4.75</v>
      </c>
      <c r="L34" s="9" t="n">
        <v>2.33</v>
      </c>
      <c r="M34" s="9" t="n">
        <v>3.6</v>
      </c>
      <c r="N34" s="9" t="n">
        <v>38.86</v>
      </c>
      <c r="O34" s="10" t="n">
        <v>324.04</v>
      </c>
      <c r="P34" s="9" t="n">
        <f aca="false">VLOOKUP(B34,Análises!$I$6:$J$11,2,FALSE())</f>
        <v>954</v>
      </c>
      <c r="Q34" s="11" t="n">
        <f aca="false">O34/P34</f>
        <v>0.339664570230608</v>
      </c>
    </row>
    <row r="35" customFormat="false" ht="15" hidden="false" customHeight="false" outlineLevel="0" collapsed="false">
      <c r="A35" s="7" t="n">
        <v>43374</v>
      </c>
      <c r="B35" s="8" t="n">
        <f aca="false">YEAR(A35)</f>
        <v>2018</v>
      </c>
      <c r="C35" s="9" t="n">
        <v>20.47</v>
      </c>
      <c r="D35" s="9" t="n">
        <v>4.39</v>
      </c>
      <c r="E35" s="9" t="n">
        <v>3.52</v>
      </c>
      <c r="F35" s="9" t="n">
        <v>3.1</v>
      </c>
      <c r="G35" s="9" t="n">
        <v>4.62</v>
      </c>
      <c r="H35" s="9" t="n">
        <v>3.66</v>
      </c>
      <c r="I35" s="9" t="n">
        <v>8.5</v>
      </c>
      <c r="J35" s="9" t="n">
        <v>18.82</v>
      </c>
      <c r="K35" s="9" t="n">
        <v>4.45</v>
      </c>
      <c r="L35" s="9" t="n">
        <v>2.4</v>
      </c>
      <c r="M35" s="9" t="n">
        <v>3.71</v>
      </c>
      <c r="N35" s="9" t="n">
        <v>38.91</v>
      </c>
      <c r="O35" s="10" t="n">
        <v>333.36</v>
      </c>
      <c r="P35" s="9" t="n">
        <f aca="false">VLOOKUP(B35,Análises!$I$6:$J$11,2,FALSE())</f>
        <v>954</v>
      </c>
      <c r="Q35" s="11" t="n">
        <f aca="false">O35/P35</f>
        <v>0.349433962264151</v>
      </c>
    </row>
    <row r="36" customFormat="false" ht="15" hidden="false" customHeight="false" outlineLevel="0" collapsed="false">
      <c r="A36" s="7" t="n">
        <v>43405</v>
      </c>
      <c r="B36" s="8" t="n">
        <f aca="false">YEAR(A36)</f>
        <v>2018</v>
      </c>
      <c r="C36" s="9" t="n">
        <v>20.64</v>
      </c>
      <c r="D36" s="9" t="n">
        <v>4.07</v>
      </c>
      <c r="E36" s="9" t="n">
        <v>3.56</v>
      </c>
      <c r="F36" s="9" t="n">
        <v>3.25</v>
      </c>
      <c r="G36" s="9" t="n">
        <v>4.55</v>
      </c>
      <c r="H36" s="9" t="n">
        <v>5.27</v>
      </c>
      <c r="I36" s="9" t="n">
        <v>8.64</v>
      </c>
      <c r="J36" s="9" t="n">
        <v>18.57</v>
      </c>
      <c r="K36" s="9" t="n">
        <v>4.71</v>
      </c>
      <c r="L36" s="9" t="n">
        <v>2.61</v>
      </c>
      <c r="M36" s="9" t="n">
        <v>3.79</v>
      </c>
      <c r="N36" s="9" t="n">
        <v>38.08</v>
      </c>
      <c r="O36" s="10" t="n">
        <v>354.83</v>
      </c>
      <c r="P36" s="9" t="n">
        <f aca="false">VLOOKUP(B36,Análises!$I$6:$J$11,2,FALSE())</f>
        <v>954</v>
      </c>
      <c r="Q36" s="11" t="n">
        <f aca="false">O36/P36</f>
        <v>0.371939203354298</v>
      </c>
    </row>
    <row r="37" customFormat="false" ht="15" hidden="false" customHeight="false" outlineLevel="0" collapsed="false">
      <c r="A37" s="7" t="n">
        <v>43435</v>
      </c>
      <c r="B37" s="8" t="n">
        <f aca="false">YEAR(A37)</f>
        <v>2018</v>
      </c>
      <c r="C37" s="9" t="n">
        <v>20.7</v>
      </c>
      <c r="D37" s="9" t="n">
        <v>3.93</v>
      </c>
      <c r="E37" s="9" t="n">
        <v>3.54</v>
      </c>
      <c r="F37" s="9" t="n">
        <v>3.22</v>
      </c>
      <c r="G37" s="9" t="n">
        <v>4.39</v>
      </c>
      <c r="H37" s="9" t="n">
        <v>5.3</v>
      </c>
      <c r="I37" s="9" t="n">
        <v>8.64</v>
      </c>
      <c r="J37" s="9" t="n">
        <v>18.55</v>
      </c>
      <c r="K37" s="9" t="n">
        <v>4.66</v>
      </c>
      <c r="L37" s="9" t="n">
        <v>2.67</v>
      </c>
      <c r="M37" s="9" t="n">
        <v>3.84</v>
      </c>
      <c r="N37" s="9" t="n">
        <v>37.56</v>
      </c>
      <c r="O37" s="10" t="n">
        <v>353.4</v>
      </c>
      <c r="P37" s="9" t="n">
        <f aca="false">VLOOKUP(B37,Análises!$I$6:$J$11,2,FALSE())</f>
        <v>954</v>
      </c>
      <c r="Q37" s="11" t="n">
        <f aca="false">O37/P37</f>
        <v>0.370440251572327</v>
      </c>
    </row>
    <row r="38" customFormat="false" ht="15" hidden="false" customHeight="false" outlineLevel="0" collapsed="false">
      <c r="A38" s="7" t="n">
        <v>43466</v>
      </c>
      <c r="B38" s="8" t="n">
        <f aca="false">YEAR(A38)</f>
        <v>2019</v>
      </c>
      <c r="C38" s="9" t="n">
        <v>21.68</v>
      </c>
      <c r="D38" s="9" t="n">
        <v>3.76</v>
      </c>
      <c r="E38" s="9" t="n">
        <v>4.68</v>
      </c>
      <c r="F38" s="9" t="n">
        <v>3.2</v>
      </c>
      <c r="G38" s="9" t="n">
        <v>4.02</v>
      </c>
      <c r="H38" s="9" t="n">
        <v>4.49</v>
      </c>
      <c r="I38" s="9" t="n">
        <v>8.75</v>
      </c>
      <c r="J38" s="9" t="n">
        <v>18.25</v>
      </c>
      <c r="K38" s="9" t="n">
        <v>4.87</v>
      </c>
      <c r="L38" s="9" t="n">
        <v>2.72</v>
      </c>
      <c r="M38" s="9" t="n">
        <v>3.87</v>
      </c>
      <c r="N38" s="9" t="n">
        <v>38.22</v>
      </c>
      <c r="O38" s="10" t="n">
        <v>353.85</v>
      </c>
      <c r="P38" s="9" t="n">
        <f aca="false">VLOOKUP(B38,Análises!$I$6:$J$11,2,FALSE())</f>
        <v>998</v>
      </c>
      <c r="Q38" s="11" t="n">
        <f aca="false">O38/P38</f>
        <v>0.354559118236473</v>
      </c>
    </row>
    <row r="39" customFormat="false" ht="15" hidden="false" customHeight="false" outlineLevel="0" collapsed="false">
      <c r="A39" s="7" t="n">
        <v>43497</v>
      </c>
      <c r="B39" s="8" t="n">
        <f aca="false">YEAR(A39)</f>
        <v>2019</v>
      </c>
      <c r="C39" s="9" t="n">
        <v>21.58</v>
      </c>
      <c r="D39" s="9" t="n">
        <v>3.84</v>
      </c>
      <c r="E39" s="9" t="n">
        <v>7.52</v>
      </c>
      <c r="F39" s="9" t="n">
        <v>3.24</v>
      </c>
      <c r="G39" s="9" t="n">
        <v>3.88</v>
      </c>
      <c r="H39" s="9" t="n">
        <v>4.46</v>
      </c>
      <c r="I39" s="9" t="n">
        <v>8.7</v>
      </c>
      <c r="J39" s="9" t="n">
        <v>17.38</v>
      </c>
      <c r="K39" s="9" t="n">
        <v>5.15</v>
      </c>
      <c r="L39" s="9" t="n">
        <v>2.77</v>
      </c>
      <c r="M39" s="9" t="n">
        <v>3.95</v>
      </c>
      <c r="N39" s="9" t="n">
        <v>39.61</v>
      </c>
      <c r="O39" s="10" t="n">
        <v>368.82</v>
      </c>
      <c r="P39" s="9" t="n">
        <f aca="false">VLOOKUP(B39,Análises!$I$6:$J$11,2,FALSE())</f>
        <v>998</v>
      </c>
      <c r="Q39" s="11" t="n">
        <f aca="false">O39/P39</f>
        <v>0.369559118236473</v>
      </c>
    </row>
    <row r="40" customFormat="false" ht="15" hidden="false" customHeight="false" outlineLevel="0" collapsed="false">
      <c r="A40" s="7" t="n">
        <v>43525</v>
      </c>
      <c r="B40" s="8" t="n">
        <f aca="false">YEAR(A40)</f>
        <v>2019</v>
      </c>
      <c r="C40" s="9" t="n">
        <v>21.16</v>
      </c>
      <c r="D40" s="9" t="n">
        <v>3.84</v>
      </c>
      <c r="E40" s="9" t="n">
        <v>8.84</v>
      </c>
      <c r="F40" s="9" t="n">
        <v>3.22</v>
      </c>
      <c r="G40" s="9" t="n">
        <v>4.03</v>
      </c>
      <c r="H40" s="9" t="n">
        <v>6.07</v>
      </c>
      <c r="I40" s="9" t="n">
        <v>8.75</v>
      </c>
      <c r="J40" s="9" t="n">
        <v>17.34</v>
      </c>
      <c r="K40" s="9" t="n">
        <v>5.54</v>
      </c>
      <c r="L40" s="9" t="n">
        <v>2.69</v>
      </c>
      <c r="M40" s="9" t="n">
        <v>3.92</v>
      </c>
      <c r="N40" s="9" t="n">
        <v>39.71</v>
      </c>
      <c r="O40" s="10" t="n">
        <v>395.58</v>
      </c>
      <c r="P40" s="9" t="n">
        <f aca="false">VLOOKUP(B40,Análises!$I$6:$J$11,2,FALSE())</f>
        <v>998</v>
      </c>
      <c r="Q40" s="11" t="n">
        <f aca="false">O40/P40</f>
        <v>0.396372745490982</v>
      </c>
    </row>
    <row r="41" customFormat="false" ht="15" hidden="false" customHeight="false" outlineLevel="0" collapsed="false">
      <c r="A41" s="7" t="n">
        <v>43556</v>
      </c>
      <c r="B41" s="8" t="n">
        <f aca="false">YEAR(A41)</f>
        <v>2019</v>
      </c>
      <c r="C41" s="9" t="n">
        <v>21.74</v>
      </c>
      <c r="D41" s="9" t="n">
        <v>3.82</v>
      </c>
      <c r="E41" s="9" t="n">
        <v>8.42</v>
      </c>
      <c r="F41" s="9" t="n">
        <v>3.19</v>
      </c>
      <c r="G41" s="9" t="n">
        <v>3.97</v>
      </c>
      <c r="H41" s="9" t="n">
        <v>8.07</v>
      </c>
      <c r="I41" s="9" t="n">
        <v>8.83</v>
      </c>
      <c r="J41" s="9" t="n">
        <v>17.5</v>
      </c>
      <c r="K41" s="9" t="n">
        <v>5.75</v>
      </c>
      <c r="L41" s="9" t="n">
        <v>2.78</v>
      </c>
      <c r="M41" s="9" t="n">
        <v>3.88</v>
      </c>
      <c r="N41" s="9" t="n">
        <v>41.61</v>
      </c>
      <c r="O41" s="10" t="n">
        <v>423.66</v>
      </c>
      <c r="P41" s="9" t="n">
        <f aca="false">VLOOKUP(B41,Análises!$I$6:$J$11,2,FALSE())</f>
        <v>998</v>
      </c>
      <c r="Q41" s="11" t="n">
        <f aca="false">O41/P41</f>
        <v>0.424509018036072</v>
      </c>
    </row>
    <row r="42" customFormat="false" ht="15" hidden="false" customHeight="false" outlineLevel="0" collapsed="false">
      <c r="A42" s="7" t="n">
        <v>45748</v>
      </c>
      <c r="B42" s="8" t="n">
        <f aca="false">YEAR(A42)</f>
        <v>2025</v>
      </c>
      <c r="C42" s="9" t="n">
        <v>41.09</v>
      </c>
      <c r="D42" s="9" t="n">
        <v>5.99</v>
      </c>
      <c r="E42" s="9" t="n">
        <v>6.28</v>
      </c>
      <c r="F42" s="9" t="n">
        <v>5.56</v>
      </c>
      <c r="G42" s="9" t="n">
        <v>9.07</v>
      </c>
      <c r="H42" s="9" t="n">
        <v>9.08</v>
      </c>
      <c r="I42" s="9" t="n">
        <v>18.44</v>
      </c>
      <c r="J42" s="9" t="n">
        <v>61.9</v>
      </c>
      <c r="K42" s="9" t="n">
        <v>9.09</v>
      </c>
      <c r="L42" s="9" t="n">
        <v>4.02</v>
      </c>
      <c r="M42" s="9" t="n">
        <v>8.77</v>
      </c>
      <c r="N42" s="9" t="n">
        <v>64.33</v>
      </c>
      <c r="O42" s="10" t="n">
        <v>671.77</v>
      </c>
      <c r="P42" s="9" t="n">
        <f aca="false">VLOOKUP(B42,Análises!$I$6:$J$11,2,FALSE())</f>
        <v>1518</v>
      </c>
      <c r="Q42" s="11" t="n">
        <f aca="false">O42/P42</f>
        <v>0.442536231884058</v>
      </c>
    </row>
    <row r="43" customFormat="false" ht="15" hidden="false" customHeight="false" outlineLevel="0" collapsed="false">
      <c r="A43" s="7" t="n">
        <v>45778</v>
      </c>
      <c r="B43" s="8" t="n">
        <f aca="false">YEAR(A43)</f>
        <v>2025</v>
      </c>
      <c r="C43" s="9" t="n">
        <v>41.23</v>
      </c>
      <c r="D43" s="9" t="n">
        <v>6.05</v>
      </c>
      <c r="E43" s="9" t="n">
        <v>6.19</v>
      </c>
      <c r="F43" s="9" t="n">
        <v>5.04</v>
      </c>
      <c r="G43" s="9" t="n">
        <v>8.76</v>
      </c>
      <c r="H43" s="9" t="n">
        <v>8.87</v>
      </c>
      <c r="I43" s="9" t="n">
        <v>18.52</v>
      </c>
      <c r="J43" s="9" t="n">
        <v>63.92</v>
      </c>
      <c r="K43" s="9" t="n">
        <v>9.36</v>
      </c>
      <c r="L43" s="9" t="n">
        <v>3.79</v>
      </c>
      <c r="M43" s="9" t="n">
        <v>8.01</v>
      </c>
      <c r="N43" s="9" t="n">
        <v>63.39</v>
      </c>
      <c r="O43" s="10" t="n">
        <v>667.98</v>
      </c>
      <c r="P43" s="9" t="n">
        <f aca="false">VLOOKUP(B43,Análises!$I$6:$J$11,2,FALSE())</f>
        <v>1518</v>
      </c>
      <c r="Q43" s="11" t="n">
        <f aca="false">O43/P43</f>
        <v>0.4400395256917</v>
      </c>
    </row>
    <row r="44" customFormat="false" ht="15" hidden="false" customHeight="false" outlineLevel="0" collapsed="false">
      <c r="A44" s="7" t="n">
        <v>45809</v>
      </c>
      <c r="B44" s="8" t="n">
        <f aca="false">YEAR(A44)</f>
        <v>2025</v>
      </c>
      <c r="C44" s="9" t="n">
        <v>39.96</v>
      </c>
      <c r="D44" s="9" t="n">
        <v>5.88</v>
      </c>
      <c r="E44" s="9" t="n">
        <v>6.11</v>
      </c>
      <c r="F44" s="9" t="n">
        <v>4.87</v>
      </c>
      <c r="G44" s="9" t="n">
        <v>8.36</v>
      </c>
      <c r="H44" s="9" t="n">
        <v>8.55</v>
      </c>
      <c r="I44" s="9" t="n">
        <v>18.57</v>
      </c>
      <c r="J44" s="9" t="n">
        <v>63.61</v>
      </c>
      <c r="K44" s="9" t="n">
        <v>9.16</v>
      </c>
      <c r="L44" s="9" t="n">
        <v>3.76</v>
      </c>
      <c r="M44" s="9" t="n">
        <v>8.14</v>
      </c>
      <c r="N44" s="9" t="n">
        <v>65.19</v>
      </c>
      <c r="O44" s="10" t="n">
        <v>655.32</v>
      </c>
      <c r="P44" s="9" t="n">
        <f aca="false">VLOOKUP(B44,Análises!$I$6:$J$11,2,FALSE())</f>
        <v>1518</v>
      </c>
      <c r="Q44" s="11" t="n">
        <f aca="false">O44/P44</f>
        <v>0.431699604743083</v>
      </c>
    </row>
    <row r="45" customFormat="false" ht="15" hidden="false" customHeight="false" outlineLevel="0" collapsed="false">
      <c r="A45" s="7" t="n">
        <v>45839</v>
      </c>
      <c r="B45" s="8" t="n">
        <f aca="false">YEAR(A45)</f>
        <v>2025</v>
      </c>
      <c r="C45" s="9" t="n">
        <v>39.98</v>
      </c>
      <c r="D45" s="9" t="n">
        <v>5.85</v>
      </c>
      <c r="E45" s="9" t="n">
        <v>6.13</v>
      </c>
      <c r="F45" s="9" t="n">
        <v>4.69</v>
      </c>
      <c r="G45" s="9" t="n">
        <v>7.77</v>
      </c>
      <c r="H45" s="9" t="n">
        <v>9.36</v>
      </c>
      <c r="I45" s="9" t="n">
        <v>18.51</v>
      </c>
      <c r="J45" s="9" t="n">
        <v>62.46</v>
      </c>
      <c r="K45" s="9" t="n">
        <v>9.33</v>
      </c>
      <c r="L45" s="9" t="n">
        <v>3.87</v>
      </c>
      <c r="M45" s="9" t="n">
        <v>8.44</v>
      </c>
      <c r="N45" s="9" t="n">
        <v>66.1</v>
      </c>
      <c r="O45" s="10" t="n">
        <v>664.52</v>
      </c>
      <c r="P45" s="9" t="n">
        <f aca="false">VLOOKUP(B45,Análises!$I$6:$J$11,2,FALSE())</f>
        <v>1518</v>
      </c>
      <c r="Q45" s="11" t="n">
        <f aca="false">O45/P45</f>
        <v>0.437760210803689</v>
      </c>
    </row>
    <row r="46" customFormat="false" ht="15" hidden="false" customHeight="false" outlineLevel="0" collapsed="false">
      <c r="A46" s="7" t="n">
        <v>45870</v>
      </c>
      <c r="B46" s="8" t="n">
        <f aca="false">YEAR(A46)</f>
        <v>2025</v>
      </c>
      <c r="C46" s="9" t="n">
        <v>39.98</v>
      </c>
      <c r="D46" s="9" t="n">
        <v>5.72</v>
      </c>
      <c r="E46" s="9" t="n">
        <v>5.81</v>
      </c>
      <c r="F46" s="9" t="n">
        <v>4.56</v>
      </c>
      <c r="G46" s="9" t="n">
        <v>8.06</v>
      </c>
      <c r="H46" s="9" t="n">
        <v>8.25</v>
      </c>
      <c r="I46" s="9" t="n">
        <v>18.52</v>
      </c>
      <c r="J46" s="9" t="n">
        <v>62.4</v>
      </c>
      <c r="K46" s="9" t="n">
        <v>8.85</v>
      </c>
      <c r="L46" s="9" t="n">
        <v>3.79</v>
      </c>
      <c r="M46" s="9" t="n">
        <v>8.29</v>
      </c>
      <c r="N46" s="9" t="n">
        <v>64.46</v>
      </c>
      <c r="O46" s="10" t="n">
        <v>644.21</v>
      </c>
      <c r="P46" s="9" t="n">
        <f aca="false">VLOOKUP(B46,Análises!$I$6:$J$11,2,FALSE())</f>
        <v>1518</v>
      </c>
      <c r="Q46" s="11" t="n">
        <f aca="false">O46/P46</f>
        <v>0.424380764163373</v>
      </c>
    </row>
    <row r="47" customFormat="false" ht="15" hidden="false" customHeight="false" outlineLevel="0" collapsed="false">
      <c r="A47" s="7" t="n">
        <v>45901</v>
      </c>
      <c r="B47" s="8" t="n">
        <f aca="false">YEAR(A47)</f>
        <v>2025</v>
      </c>
      <c r="C47" s="9" t="n">
        <v>39.57</v>
      </c>
      <c r="D47" s="9" t="n">
        <v>5.59</v>
      </c>
      <c r="E47" s="9" t="n">
        <v>5.63</v>
      </c>
      <c r="F47" s="9" t="n">
        <v>4.37</v>
      </c>
      <c r="G47" s="9" t="n">
        <v>8.15</v>
      </c>
      <c r="H47" s="9" t="n">
        <v>7.05</v>
      </c>
      <c r="I47" s="9" t="n">
        <v>18.39</v>
      </c>
      <c r="J47" s="9" t="n">
        <v>65.58</v>
      </c>
      <c r="K47" s="9" t="n">
        <v>8.76</v>
      </c>
      <c r="L47" s="9" t="n">
        <v>3.78</v>
      </c>
      <c r="M47" s="9" t="n">
        <v>8.41</v>
      </c>
      <c r="N47" s="9" t="n">
        <v>62.3</v>
      </c>
      <c r="O47" s="10" t="n">
        <v>623.92</v>
      </c>
      <c r="P47" s="9" t="n">
        <f aca="false">VLOOKUP(B47,Análises!$I$6:$J$11,2,FALSE())</f>
        <v>1518</v>
      </c>
      <c r="Q47" s="11" t="n">
        <f aca="false">O47/P47</f>
        <v>0.411014492753623</v>
      </c>
    </row>
    <row r="48" customFormat="false" ht="15" hidden="false" customHeight="false" outlineLevel="0" collapsed="false">
      <c r="A48" s="7" t="n">
        <v>45931</v>
      </c>
      <c r="B48" s="8" t="n">
        <f aca="false">YEAR(A48)</f>
        <v>2025</v>
      </c>
      <c r="C48" s="9" t="n">
        <v>40.18</v>
      </c>
      <c r="D48" s="9" t="n">
        <v>5.6</v>
      </c>
      <c r="E48" s="9" t="n">
        <v>5.71</v>
      </c>
      <c r="F48" s="9" t="n">
        <v>4.34</v>
      </c>
      <c r="G48" s="9" t="n">
        <v>8.14</v>
      </c>
      <c r="H48" s="9" t="n">
        <v>8.14</v>
      </c>
      <c r="I48" s="9" t="n">
        <v>18.39</v>
      </c>
      <c r="J48" s="9" t="n">
        <v>64.98</v>
      </c>
      <c r="K48" s="9" t="n">
        <v>9.06</v>
      </c>
      <c r="L48" s="9" t="n">
        <v>3.74</v>
      </c>
      <c r="M48" s="9" t="n">
        <v>9.01</v>
      </c>
      <c r="N48" s="9" t="n">
        <v>63.29</v>
      </c>
      <c r="O48" s="10" t="n">
        <v>643.31</v>
      </c>
      <c r="P48" s="9" t="n">
        <f aca="false">VLOOKUP(B48,Análises!$I$6:$J$11,2,FALSE())</f>
        <v>1518</v>
      </c>
      <c r="Q48" s="11" t="n">
        <f aca="false">O48/P48</f>
        <v>0.423787878787879</v>
      </c>
    </row>
    <row r="49" customFormat="false" ht="15" hidden="false" customHeight="false" outlineLevel="0" collapsed="false">
      <c r="A49" s="7" t="n">
        <v>45962</v>
      </c>
      <c r="B49" s="8" t="n">
        <f aca="false">YEAR(A49)</f>
        <v>2025</v>
      </c>
      <c r="C49" s="9" t="n">
        <v>40.7</v>
      </c>
      <c r="D49" s="9" t="n">
        <v>5.3</v>
      </c>
      <c r="E49" s="9" t="n">
        <v>5.92</v>
      </c>
      <c r="F49" s="9" t="n">
        <v>4.14</v>
      </c>
      <c r="G49" s="9" t="n">
        <v>8.32</v>
      </c>
      <c r="H49" s="9" t="n">
        <v>6.82</v>
      </c>
      <c r="I49" s="9" t="n">
        <v>18.54</v>
      </c>
      <c r="J49" s="9" t="n">
        <v>61.67</v>
      </c>
      <c r="K49" s="9" t="n">
        <v>8.87</v>
      </c>
      <c r="L49" s="9" t="n">
        <v>3.67</v>
      </c>
      <c r="M49" s="9" t="n">
        <v>9.16</v>
      </c>
      <c r="N49" s="9" t="n">
        <v>62.78</v>
      </c>
      <c r="O49" s="10" t="n">
        <v>626.82</v>
      </c>
      <c r="P49" s="9" t="n">
        <f aca="false">VLOOKUP(B49,Análises!$I$6:$J$11,2,FALSE())</f>
        <v>1518</v>
      </c>
      <c r="Q49" s="11" t="n">
        <f aca="false">O49/P49</f>
        <v>0.412924901185771</v>
      </c>
    </row>
    <row r="50" customFormat="false" ht="15" hidden="false" customHeight="false" outlineLevel="0" collapsed="false">
      <c r="A50" s="7" t="n">
        <v>45992</v>
      </c>
      <c r="B50" s="8" t="n">
        <f aca="false">YEAR(A50)</f>
        <v>2025</v>
      </c>
      <c r="C50" s="9" t="n">
        <v>41.3</v>
      </c>
      <c r="D50" s="9" t="n">
        <v>5.21</v>
      </c>
      <c r="E50" s="9" t="n">
        <v>6.06</v>
      </c>
      <c r="F50" s="9" t="n">
        <v>4.1</v>
      </c>
      <c r="G50" s="9" t="n">
        <v>8.39</v>
      </c>
      <c r="H50" s="9" t="n">
        <v>7.1</v>
      </c>
      <c r="I50" s="9" t="n">
        <v>18.48</v>
      </c>
      <c r="J50" s="9" t="n">
        <v>61.34</v>
      </c>
      <c r="K50" s="9" t="n">
        <v>8.71</v>
      </c>
      <c r="L50" s="9" t="n">
        <v>3.67</v>
      </c>
      <c r="M50" s="9" t="n">
        <v>8.62</v>
      </c>
      <c r="N50" s="9" t="n">
        <v>60.9</v>
      </c>
      <c r="O50" s="10" t="n">
        <v>629.43</v>
      </c>
      <c r="P50" s="9" t="n">
        <f aca="false">VLOOKUP(B50,Análises!$I$6:$J$11,2,FALSE())</f>
        <v>1518</v>
      </c>
      <c r="Q50" s="11" t="n">
        <f aca="false">O50/P50</f>
        <v>0.414644268774704</v>
      </c>
    </row>
    <row r="51" customFormat="false" ht="15" hidden="false" customHeight="false" outlineLevel="0" collapsed="false">
      <c r="A51" s="7" t="n">
        <v>46023</v>
      </c>
      <c r="B51" s="8" t="n">
        <f aca="false">YEAR(A51)</f>
        <v>2026</v>
      </c>
      <c r="C51" s="9" t="n">
        <v>42.25</v>
      </c>
      <c r="D51" s="9" t="n">
        <v>5.2</v>
      </c>
      <c r="E51" s="9" t="n">
        <v>6.27</v>
      </c>
      <c r="F51" s="9" t="n">
        <v>4.04</v>
      </c>
      <c r="G51" s="9" t="n">
        <v>8.31</v>
      </c>
      <c r="H51" s="9" t="n">
        <v>6.62</v>
      </c>
      <c r="I51" s="9" t="n">
        <v>18.49</v>
      </c>
      <c r="J51" s="9" t="n">
        <v>61.09</v>
      </c>
      <c r="K51" s="9" t="n">
        <v>8.47</v>
      </c>
      <c r="L51" s="9" t="n">
        <v>3.65</v>
      </c>
      <c r="M51" s="9" t="n">
        <v>8.63</v>
      </c>
      <c r="N51" s="9" t="n">
        <v>60.02</v>
      </c>
      <c r="O51" s="10" t="n">
        <v>625.86</v>
      </c>
      <c r="P51" s="9" t="n">
        <f aca="false">VLOOKUP(B51,Análises!$I$6:$J$11,2,FALSE())</f>
        <v>1621</v>
      </c>
      <c r="Q51" s="11" t="n">
        <f aca="false">O51/P51</f>
        <v>0.386095003084516</v>
      </c>
    </row>
    <row r="52" customFormat="false" ht="15" hidden="false" customHeight="false" outlineLevel="0" collapsed="false">
      <c r="A52" s="7" t="n">
        <v>46054</v>
      </c>
      <c r="B52" s="8" t="n">
        <f aca="false">YEAR(A52)</f>
        <v>2026</v>
      </c>
      <c r="C52" s="9" t="n">
        <v>41.96</v>
      </c>
      <c r="D52" s="9" t="n">
        <v>5.2</v>
      </c>
      <c r="E52" s="9" t="n">
        <v>6.3</v>
      </c>
      <c r="F52" s="9" t="n">
        <v>4.04</v>
      </c>
      <c r="G52" s="9" t="n">
        <v>8.31</v>
      </c>
      <c r="H52" s="9" t="n">
        <v>6.94</v>
      </c>
      <c r="I52" s="9" t="n">
        <v>18.49</v>
      </c>
      <c r="J52" s="9" t="n">
        <v>59.38</v>
      </c>
      <c r="K52" s="9" t="n">
        <v>8.51</v>
      </c>
      <c r="L52" s="9" t="n">
        <v>3.65</v>
      </c>
      <c r="M52" s="9" t="n">
        <v>8.63</v>
      </c>
      <c r="N52" s="9" t="n">
        <v>62.3</v>
      </c>
      <c r="O52" s="10" t="n">
        <v>630.01</v>
      </c>
      <c r="P52" s="9" t="n">
        <f aca="false">VLOOKUP(B52,Análises!$I$6:$J$11,2,FALSE())</f>
        <v>1621</v>
      </c>
      <c r="Q52" s="11" t="n">
        <f aca="false">O52/P52</f>
        <v>0.388655151141271</v>
      </c>
    </row>
    <row r="53" customFormat="false" ht="15" hidden="false" customHeight="false" outlineLevel="0" collapsed="false">
      <c r="A53" s="7" t="n">
        <v>46082</v>
      </c>
      <c r="B53" s="8" t="n">
        <f aca="false">YEAR(A53)</f>
        <v>2026</v>
      </c>
      <c r="C53" s="9" t="n">
        <v>42.05</v>
      </c>
      <c r="D53" s="9" t="n">
        <v>5.22</v>
      </c>
      <c r="E53" s="9" t="n">
        <v>6.58</v>
      </c>
      <c r="F53" s="9" t="n">
        <v>4.15</v>
      </c>
      <c r="G53" s="9" t="n">
        <v>8.35</v>
      </c>
      <c r="H53" s="9" t="n">
        <v>6.99</v>
      </c>
      <c r="I53" s="9" t="n">
        <v>18.64</v>
      </c>
      <c r="J53" s="9" t="n">
        <v>66.16</v>
      </c>
      <c r="K53" s="9" t="n">
        <v>8.52</v>
      </c>
      <c r="L53" s="9" t="n">
        <v>3.66</v>
      </c>
      <c r="M53" s="9" t="n">
        <v>8.82</v>
      </c>
      <c r="N53" s="9" t="n">
        <v>59.79</v>
      </c>
      <c r="O53" s="10" t="n">
        <v>634.26</v>
      </c>
      <c r="P53" s="9" t="n">
        <f aca="false">VLOOKUP(B53,Análises!$I$6:$J$11,2,FALSE())</f>
        <v>1621</v>
      </c>
      <c r="Q53" s="11" t="n">
        <f aca="false">O53/P53</f>
        <v>0.391276989512647</v>
      </c>
    </row>
    <row r="54" customFormat="false" ht="15" hidden="false" customHeight="false" outlineLevel="0" collapsed="false">
      <c r="A54" s="7" t="n">
        <v>46113</v>
      </c>
      <c r="B54" s="8" t="n">
        <f aca="false">YEAR(A54)</f>
        <v>2026</v>
      </c>
      <c r="C54" s="9" t="n">
        <v>41.62</v>
      </c>
      <c r="D54" s="9" t="n">
        <v>5.36</v>
      </c>
      <c r="E54" s="9" t="n">
        <v>6.58</v>
      </c>
      <c r="F54" s="9" t="n">
        <v>4.15</v>
      </c>
      <c r="G54" s="9" t="n">
        <v>8.4</v>
      </c>
      <c r="H54" s="9" t="n">
        <v>7.18</v>
      </c>
      <c r="I54" s="9" t="n">
        <v>18.89</v>
      </c>
      <c r="J54" s="9" t="n">
        <v>66.66</v>
      </c>
      <c r="K54" s="9" t="n">
        <v>8.58</v>
      </c>
      <c r="L54" s="9" t="n">
        <v>3.69</v>
      </c>
      <c r="M54" s="9" t="n">
        <v>9.56</v>
      </c>
      <c r="N54" s="9" t="n">
        <v>60.74</v>
      </c>
      <c r="O54" s="10" t="n">
        <v>639.24</v>
      </c>
      <c r="P54" s="9" t="n">
        <f aca="false">VLOOKUP(B54,Análises!$I$6:$J$11,2,FALSE())</f>
        <v>1621</v>
      </c>
      <c r="Q54" s="11" t="n">
        <f aca="false">O54/P54</f>
        <v>0.394349167180753</v>
      </c>
    </row>
    <row r="55" customFormat="false" ht="15" hidden="false" customHeight="false" outlineLevel="0" collapsed="false">
      <c r="A55" s="7" t="n">
        <v>46143</v>
      </c>
      <c r="B55" s="8" t="n">
        <f aca="false">YEAR(A55)</f>
        <v>2026</v>
      </c>
      <c r="C55" s="9" t="n">
        <v>42.16</v>
      </c>
      <c r="D55" s="9" t="n">
        <v>5.75</v>
      </c>
      <c r="E55" s="9" t="n">
        <v>6.58</v>
      </c>
      <c r="F55" s="9" t="n">
        <v>4.26</v>
      </c>
      <c r="G55" s="9" t="n">
        <v>8.38</v>
      </c>
      <c r="H55" s="9" t="n">
        <v>7.17</v>
      </c>
      <c r="I55" s="9" t="n">
        <v>19.13</v>
      </c>
      <c r="J55" s="9" t="n">
        <v>68.53</v>
      </c>
      <c r="K55" s="9" t="n">
        <v>9.25</v>
      </c>
      <c r="L55" s="9" t="n">
        <v>3.7</v>
      </c>
      <c r="M55" s="9" t="n">
        <v>9.8</v>
      </c>
      <c r="N55" s="9" t="n">
        <v>60.24</v>
      </c>
      <c r="O55" s="10" t="n">
        <v>651.15</v>
      </c>
      <c r="P55" s="9" t="n">
        <f aca="false">VLOOKUP(B55,Análises!$I$6:$J$11,2,FALSE())</f>
        <v>1621</v>
      </c>
      <c r="Q55" s="11" t="n">
        <f aca="false">O55/P55</f>
        <v>0.401696483652067</v>
      </c>
    </row>
    <row r="56" customFormat="false" ht="15" hidden="false" customHeight="false" outlineLevel="0" collapsed="false">
      <c r="A56" s="7" t="n">
        <v>46174</v>
      </c>
      <c r="B56" s="8" t="n">
        <f aca="false">YEAR(A56)</f>
        <v>2026</v>
      </c>
      <c r="C56" s="9" t="n">
        <v>42.47</v>
      </c>
      <c r="D56" s="9" t="n">
        <v>6.06</v>
      </c>
      <c r="E56" s="9" t="n">
        <v>6.77</v>
      </c>
      <c r="F56" s="9" t="n">
        <v>4.37</v>
      </c>
      <c r="G56" s="9" t="n">
        <v>8.31</v>
      </c>
      <c r="H56" s="9" t="n">
        <v>7.26</v>
      </c>
      <c r="I56" s="9" t="n">
        <v>19.13</v>
      </c>
      <c r="J56" s="9" t="n">
        <v>66.2</v>
      </c>
      <c r="K56" s="9" t="n">
        <v>9.23</v>
      </c>
      <c r="L56" s="9" t="n">
        <v>3.66</v>
      </c>
      <c r="M56" s="9" t="n">
        <v>9.73</v>
      </c>
      <c r="N56" s="9" t="n">
        <v>59.23</v>
      </c>
      <c r="O56" s="10" t="n">
        <v>654.73</v>
      </c>
      <c r="P56" s="9" t="n">
        <f aca="false">VLOOKUP(B56,Análises!$I$6:$J$11,2,FALSE())</f>
        <v>1621</v>
      </c>
      <c r="Q56" s="11" t="n">
        <f aca="false">O56/P56</f>
        <v>0.403904996915484</v>
      </c>
    </row>
    <row r="57" customFormat="false" ht="15" hidden="false" customHeight="false" outlineLevel="0" collapsed="false">
      <c r="A57" s="7" t="n">
        <v>46204</v>
      </c>
      <c r="B57" s="8" t="n">
        <f aca="false">YEAR(A57)</f>
        <v>2026</v>
      </c>
      <c r="C57" s="9" t="n">
        <v>42.06</v>
      </c>
      <c r="D57" s="9" t="n">
        <v>6.02</v>
      </c>
      <c r="E57" s="9" t="n">
        <v>6.84</v>
      </c>
      <c r="F57" s="9" t="n">
        <v>4.46</v>
      </c>
      <c r="G57" s="9" t="n">
        <v>8.75</v>
      </c>
      <c r="H57" s="9" t="n">
        <v>7.28</v>
      </c>
      <c r="I57" s="9" t="n">
        <v>19.21</v>
      </c>
      <c r="J57" s="9" t="n">
        <v>64.6</v>
      </c>
      <c r="K57" s="9" t="n">
        <v>9.38</v>
      </c>
      <c r="L57" s="9" t="n">
        <v>3.68</v>
      </c>
      <c r="M57" s="9" t="n">
        <v>9.77</v>
      </c>
      <c r="N57" s="9" t="n">
        <v>60.07</v>
      </c>
      <c r="O57" s="10" t="n">
        <v>656.69</v>
      </c>
      <c r="P57" s="9" t="n">
        <f aca="false">VLOOKUP(B57,Análises!$I$6:$J$11,2,FALSE())</f>
        <v>1621</v>
      </c>
      <c r="Q57" s="11" t="n">
        <f aca="false">O57/P57</f>
        <v>0.405114127082048</v>
      </c>
    </row>
    <row r="58" customFormat="false" ht="15" hidden="false" customHeight="false" outlineLevel="0" collapsed="false">
      <c r="A58" s="7" t="n">
        <v>46235</v>
      </c>
      <c r="B58" s="8" t="n">
        <f aca="false">YEAR(A58)</f>
        <v>2026</v>
      </c>
      <c r="C58" s="9" t="n">
        <v>40.61</v>
      </c>
      <c r="D58" s="9" t="n">
        <v>6.26</v>
      </c>
      <c r="E58" s="9" t="n">
        <v>7.01</v>
      </c>
      <c r="F58" s="9" t="n">
        <v>4.62</v>
      </c>
      <c r="G58" s="9" t="n">
        <v>10.08</v>
      </c>
      <c r="H58" s="9" t="n">
        <v>7.54</v>
      </c>
      <c r="I58" s="9" t="n">
        <v>19.27</v>
      </c>
      <c r="J58" s="9" t="n">
        <v>61.28</v>
      </c>
      <c r="K58" s="9" t="n">
        <v>9.5</v>
      </c>
      <c r="L58" s="9" t="n">
        <v>4.09</v>
      </c>
      <c r="M58" s="9" t="n">
        <v>9.65</v>
      </c>
      <c r="N58" s="9" t="n">
        <v>60.55</v>
      </c>
      <c r="O58" s="10" t="n">
        <v>661.79</v>
      </c>
      <c r="P58" s="9" t="n">
        <f aca="false">VLOOKUP(B58,Análises!$I$6:$J$11,2,FALSE())</f>
        <v>1621</v>
      </c>
      <c r="Q58" s="11" t="n">
        <f aca="false">O58/P58</f>
        <v>0.408260333127699</v>
      </c>
    </row>
    <row r="59" customFormat="false" ht="15" hidden="false" customHeight="false" outlineLevel="0" collapsed="false">
      <c r="A59" s="7" t="n">
        <v>46266</v>
      </c>
      <c r="B59" s="8" t="n">
        <f aca="false">YEAR(A59)</f>
        <v>2026</v>
      </c>
      <c r="C59" s="9" t="n">
        <v>45.36</v>
      </c>
      <c r="D59" s="9" t="n">
        <v>6.78</v>
      </c>
      <c r="E59" s="9" t="n">
        <v>8.97</v>
      </c>
      <c r="F59" s="9" t="n">
        <v>5.1</v>
      </c>
      <c r="G59" s="9" t="n">
        <v>8.73</v>
      </c>
      <c r="H59" s="9" t="n">
        <v>8.24</v>
      </c>
      <c r="I59" s="9" t="n">
        <v>19.45</v>
      </c>
      <c r="J59" s="9" t="n">
        <v>54.37</v>
      </c>
      <c r="K59" s="9" t="n">
        <v>8.71</v>
      </c>
      <c r="L59" s="9" t="n">
        <v>3.62</v>
      </c>
      <c r="M59" s="9" t="n">
        <v>8.69</v>
      </c>
      <c r="N59" s="9" t="n">
        <v>61.93</v>
      </c>
      <c r="O59" s="10" t="n">
        <v>692.94</v>
      </c>
      <c r="P59" s="9" t="n">
        <f aca="false">VLOOKUP(B59,Análises!$I$6:$J$11,2,FALSE())</f>
        <v>1621</v>
      </c>
      <c r="Q59" s="11" t="n">
        <f aca="false">O59/P59</f>
        <v>0.427476866132017</v>
      </c>
    </row>
  </sheetData>
  <autoFilter ref="A1:Q59"/>
  <conditionalFormatting sqref="O2:O59">
    <cfRule type="colorScale" priority="2">
      <colorScale>
        <cfvo type="min" val="0"/>
        <cfvo type="max" val="0"/>
        <color rgb="FFFFFFFF"/>
        <color rgb="FFF6B26B"/>
      </colorScale>
    </cfRule>
  </conditionalFormatting>
  <conditionalFormatting sqref="Q2:Q59">
    <cfRule type="cellIs" priority="3" operator="greaterThan" aboveAverage="0" equalAverage="0" bottom="0" percent="0" rank="0" text="" dxfId="42">
      <formula>0.4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85C6"/>
    <pageSetUpPr fitToPage="false"/>
  </sheetPr>
  <dimension ref="B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5" min="3" style="0" width="13"/>
    <col collapsed="false" customWidth="true" hidden="false" outlineLevel="0" max="6" min="6" style="0" width="24"/>
    <col collapsed="false" customWidth="true" hidden="false" outlineLevel="0" max="7" min="7" style="0" width="26"/>
    <col collapsed="false" customWidth="true" hidden="false" outlineLevel="0" max="8" min="8" style="0" width="3"/>
    <col collapsed="false" customWidth="true" hidden="false" outlineLevel="0" max="9" min="9" style="0" width="9"/>
    <col collapsed="false" customWidth="true" hidden="false" outlineLevel="0" max="10" min="10" style="0" width="14"/>
  </cols>
  <sheetData>
    <row r="1" customFormat="false" ht="19.7" hidden="false" customHeight="false" outlineLevel="0" collapsed="false">
      <c r="B1" s="12" t="s">
        <v>164</v>
      </c>
    </row>
    <row r="2" customFormat="false" ht="15" hidden="false" customHeight="false" outlineLevel="0" collapsed="false">
      <c r="B2" s="13" t="s">
        <v>165</v>
      </c>
    </row>
    <row r="4" customFormat="false" ht="15" hidden="false" customHeight="false" outlineLevel="0" collapsed="false">
      <c r="B4" s="14" t="s">
        <v>166</v>
      </c>
      <c r="C4" s="15"/>
      <c r="D4" s="15"/>
      <c r="E4" s="15"/>
      <c r="F4" s="15"/>
      <c r="G4" s="15"/>
      <c r="I4" s="16" t="s">
        <v>167</v>
      </c>
    </row>
    <row r="5" customFormat="false" ht="18" hidden="false" customHeight="true" outlineLevel="0" collapsed="false">
      <c r="B5" s="17" t="s">
        <v>168</v>
      </c>
      <c r="C5" s="18" t="n">
        <f aca="false">COUNTA('Dados brutos'!$A$3:$A$131)</f>
        <v>129</v>
      </c>
      <c r="I5" s="6" t="s">
        <v>148</v>
      </c>
      <c r="J5" s="6" t="s">
        <v>162</v>
      </c>
    </row>
    <row r="6" customFormat="false" ht="15" hidden="false" customHeight="false" outlineLevel="0" collapsed="false">
      <c r="B6" s="17" t="s">
        <v>169</v>
      </c>
      <c r="C6" s="18" t="n">
        <f aca="false">COUNTBLANK('Dados brutos'!$B$3:$B$131)</f>
        <v>71</v>
      </c>
      <c r="D6" s="13" t="s">
        <v>170</v>
      </c>
      <c r="I6" s="8" t="n">
        <v>2016</v>
      </c>
      <c r="J6" s="19" t="n">
        <v>880</v>
      </c>
    </row>
    <row r="7" customFormat="false" ht="15" hidden="false" customHeight="false" outlineLevel="0" collapsed="false">
      <c r="B7" s="17" t="s">
        <v>171</v>
      </c>
      <c r="C7" s="18" t="n">
        <f aca="false">COUNT('Dados tratados'!$O$2:$O$59)</f>
        <v>58</v>
      </c>
      <c r="I7" s="8" t="n">
        <v>2017</v>
      </c>
      <c r="J7" s="19" t="n">
        <v>937</v>
      </c>
    </row>
    <row r="8" customFormat="false" ht="15" hidden="false" customHeight="false" outlineLevel="0" collapsed="false">
      <c r="B8" s="17" t="s">
        <v>172</v>
      </c>
      <c r="C8" s="20" t="n">
        <f aca="false">MIN('Dados tratados'!$A$2:$A$59)</f>
        <v>42370</v>
      </c>
      <c r="I8" s="8" t="n">
        <v>2018</v>
      </c>
      <c r="J8" s="19" t="n">
        <v>954</v>
      </c>
    </row>
    <row r="9" customFormat="false" ht="15" hidden="false" customHeight="false" outlineLevel="0" collapsed="false">
      <c r="B9" s="17" t="s">
        <v>173</v>
      </c>
      <c r="C9" s="20" t="n">
        <f aca="false">MAX('Dados tratados'!$A$2:$A$59)</f>
        <v>46266</v>
      </c>
      <c r="I9" s="8" t="n">
        <v>2019</v>
      </c>
      <c r="J9" s="19" t="n">
        <v>998</v>
      </c>
    </row>
    <row r="10" customFormat="false" ht="15" hidden="false" customHeight="false" outlineLevel="0" collapsed="false">
      <c r="I10" s="8" t="n">
        <v>2025</v>
      </c>
      <c r="J10" s="19" t="n">
        <v>1518</v>
      </c>
    </row>
    <row r="11" customFormat="false" ht="15" hidden="false" customHeight="false" outlineLevel="0" collapsed="false">
      <c r="B11" s="14" t="s">
        <v>174</v>
      </c>
      <c r="C11" s="15"/>
      <c r="D11" s="15"/>
      <c r="E11" s="15"/>
      <c r="F11" s="15"/>
      <c r="G11" s="15"/>
      <c r="I11" s="8" t="n">
        <v>2026</v>
      </c>
      <c r="J11" s="19" t="n">
        <v>1621</v>
      </c>
    </row>
    <row r="12" customFormat="false" ht="31.5" hidden="false" customHeight="true" outlineLevel="0" collapsed="false">
      <c r="B12" s="6" t="s">
        <v>175</v>
      </c>
      <c r="C12" s="6" t="s">
        <v>172</v>
      </c>
      <c r="D12" s="6" t="s">
        <v>173</v>
      </c>
      <c r="E12" s="6" t="s">
        <v>176</v>
      </c>
    </row>
    <row r="13" customFormat="false" ht="15" hidden="false" customHeight="false" outlineLevel="0" collapsed="false">
      <c r="B13" s="17" t="s">
        <v>147</v>
      </c>
      <c r="C13" s="20" t="n">
        <f aca="false">C8</f>
        <v>42370</v>
      </c>
      <c r="D13" s="20" t="n">
        <f aca="false">C9</f>
        <v>46266</v>
      </c>
      <c r="I13" s="21" t="s">
        <v>177</v>
      </c>
    </row>
    <row r="14" customFormat="false" ht="15" hidden="false" customHeight="false" outlineLevel="0" collapsed="false">
      <c r="B14" s="17" t="s">
        <v>161</v>
      </c>
      <c r="C14" s="9" t="n">
        <f aca="false">VLOOKUP(C$13,'Dados tratados'!$A$2:$Q$59,15,FALSE())</f>
        <v>351.17</v>
      </c>
      <c r="D14" s="10" t="n">
        <f aca="false">VLOOKUP(D$13,'Dados tratados'!$A$2:$Q$59,15,FALSE())</f>
        <v>692.94</v>
      </c>
      <c r="E14" s="22" t="n">
        <f aca="false">D14/C14-1</f>
        <v>0.973232337614261</v>
      </c>
    </row>
    <row r="15" customFormat="false" ht="15" hidden="false" customHeight="false" outlineLevel="0" collapsed="false">
      <c r="B15" s="17" t="s">
        <v>162</v>
      </c>
      <c r="C15" s="9" t="n">
        <f aca="false">VLOOKUP(C$13,'Dados tratados'!$A$2:$Q$59,16,FALSE())</f>
        <v>880</v>
      </c>
      <c r="D15" s="10" t="n">
        <f aca="false">VLOOKUP(D$13,'Dados tratados'!$A$2:$Q$59,16,FALSE())</f>
        <v>1621</v>
      </c>
      <c r="E15" s="22" t="n">
        <f aca="false">D15/C15-1</f>
        <v>0.842045454545455</v>
      </c>
    </row>
    <row r="16" customFormat="false" ht="15" hidden="false" customHeight="false" outlineLevel="0" collapsed="false">
      <c r="B16" s="17" t="s">
        <v>163</v>
      </c>
      <c r="C16" s="23" t="n">
        <f aca="false">VLOOKUP(C$13,'Dados tratados'!$A$2:$Q$59,17,FALSE())</f>
        <v>0.399056818181818</v>
      </c>
      <c r="D16" s="11" t="n">
        <f aca="false">VLOOKUP(D$13,'Dados tratados'!$A$2:$Q$59,17,FALSE())</f>
        <v>0.427476866132017</v>
      </c>
      <c r="E16" s="24" t="n">
        <f aca="false">(D16-C16)*100</f>
        <v>2.84200479501991</v>
      </c>
    </row>
    <row r="17" customFormat="false" ht="15" hidden="false" customHeight="false" outlineLevel="0" collapsed="false">
      <c r="B17" s="25" t="s">
        <v>178</v>
      </c>
      <c r="C17" s="26" t="str">
        <f aca="false">IF(E14&gt;E15,"Sim","Não")</f>
        <v>Sim</v>
      </c>
    </row>
    <row r="20" customFormat="false" ht="15" hidden="false" customHeight="false" outlineLevel="0" collapsed="false">
      <c r="B20" s="14" t="s">
        <v>179</v>
      </c>
      <c r="C20" s="15"/>
      <c r="D20" s="15"/>
      <c r="E20" s="15"/>
      <c r="F20" s="15"/>
      <c r="G20" s="15"/>
    </row>
    <row r="21" customFormat="false" ht="31.5" hidden="false" customHeight="true" outlineLevel="0" collapsed="false">
      <c r="B21" s="6" t="s">
        <v>148</v>
      </c>
      <c r="C21" s="6" t="s">
        <v>180</v>
      </c>
      <c r="D21" s="6" t="s">
        <v>181</v>
      </c>
      <c r="E21" s="6" t="s">
        <v>182</v>
      </c>
      <c r="F21" s="6" t="s">
        <v>183</v>
      </c>
      <c r="G21" s="6" t="s">
        <v>184</v>
      </c>
    </row>
    <row r="22" customFormat="false" ht="15" hidden="false" customHeight="false" outlineLevel="0" collapsed="false">
      <c r="B22" s="27" t="n">
        <v>2016</v>
      </c>
      <c r="C22" s="28" t="n">
        <f aca="false">COUNTIF('Dados tratados'!$B$2:$B$59,B22)</f>
        <v>12</v>
      </c>
      <c r="D22" s="10" t="n">
        <f aca="false">AVERAGEIF('Dados tratados'!$B$2:$B$59,B22,'Dados tratados'!$O$2:$O$59)</f>
        <v>368.0425</v>
      </c>
      <c r="E22" s="11" t="n">
        <f aca="false">AVERAGEIF('Dados tratados'!$B$2:$B$59,B22,'Dados tratados'!$Q$2:$Q$59)</f>
        <v>0.418230113636364</v>
      </c>
      <c r="F22" s="28" t="n">
        <f aca="false">COUNTIFS('Dados tratados'!$B$2:$B$59,B22,'Dados tratados'!$Q$2:$Q$59,"&gt;"&amp;0.4)</f>
        <v>11</v>
      </c>
      <c r="G22" s="26" t="str">
        <f aca="false">IF(E22=MAX($E$22:$E$27),"Ano mais pesado",IF(E22=MIN($E$22:$E$27),"Ano mais leve",""))</f>
        <v/>
      </c>
    </row>
    <row r="23" customFormat="false" ht="15" hidden="false" customHeight="false" outlineLevel="0" collapsed="false">
      <c r="B23" s="27" t="n">
        <v>2017</v>
      </c>
      <c r="C23" s="28" t="n">
        <f aca="false">COUNTIF('Dados tratados'!$B$2:$B$59,B23)</f>
        <v>12</v>
      </c>
      <c r="D23" s="10" t="n">
        <f aca="false">AVERAGEIF('Dados tratados'!$B$2:$B$59,B23,'Dados tratados'!$O$2:$O$59)</f>
        <v>352.63</v>
      </c>
      <c r="E23" s="11" t="n">
        <f aca="false">AVERAGEIF('Dados tratados'!$B$2:$B$59,B23,'Dados tratados'!$Q$2:$Q$59)</f>
        <v>0.376339381003202</v>
      </c>
      <c r="F23" s="28" t="n">
        <f aca="false">COUNTIFS('Dados tratados'!$B$2:$B$59,B23,'Dados tratados'!$Q$2:$Q$59,"&gt;"&amp;0.4)</f>
        <v>0</v>
      </c>
      <c r="G23" s="26" t="str">
        <f aca="false">IF(E23=MAX($E$22:$E$27),"Ano mais pesado",IF(E23=MIN($E$22:$E$27),"Ano mais leve",""))</f>
        <v/>
      </c>
    </row>
    <row r="24" customFormat="false" ht="15" hidden="false" customHeight="false" outlineLevel="0" collapsed="false">
      <c r="B24" s="27" t="n">
        <v>2018</v>
      </c>
      <c r="C24" s="28" t="n">
        <f aca="false">COUNTIF('Dados tratados'!$B$2:$B$59,B24)</f>
        <v>12</v>
      </c>
      <c r="D24" s="10" t="n">
        <f aca="false">AVERAGEIF('Dados tratados'!$B$2:$B$59,B24,'Dados tratados'!$O$2:$O$59)</f>
        <v>345.905</v>
      </c>
      <c r="E24" s="11" t="n">
        <f aca="false">AVERAGEIF('Dados tratados'!$B$2:$B$59,B24,'Dados tratados'!$Q$2:$Q$59)</f>
        <v>0.362583857442348</v>
      </c>
      <c r="F24" s="28" t="n">
        <f aca="false">COUNTIFS('Dados tratados'!$B$2:$B$59,B24,'Dados tratados'!$Q$2:$Q$59,"&gt;"&amp;0.4)</f>
        <v>0</v>
      </c>
      <c r="G24" s="26" t="str">
        <f aca="false">IF(E24=MAX($E$22:$E$27),"Ano mais pesado",IF(E24=MIN($E$22:$E$27),"Ano mais leve",""))</f>
        <v>Ano mais leve</v>
      </c>
    </row>
    <row r="25" customFormat="false" ht="15" hidden="false" customHeight="false" outlineLevel="0" collapsed="false">
      <c r="B25" s="27" t="n">
        <v>2019</v>
      </c>
      <c r="C25" s="28" t="n">
        <f aca="false">COUNTIF('Dados tratados'!$B$2:$B$59,B25)</f>
        <v>4</v>
      </c>
      <c r="D25" s="10" t="n">
        <f aca="false">AVERAGEIF('Dados tratados'!$B$2:$B$59,B25,'Dados tratados'!$O$2:$O$59)</f>
        <v>385.4775</v>
      </c>
      <c r="E25" s="11" t="n">
        <f aca="false">AVERAGEIF('Dados tratados'!$B$2:$B$59,B25,'Dados tratados'!$Q$2:$Q$59)</f>
        <v>0.38625</v>
      </c>
      <c r="F25" s="28" t="n">
        <f aca="false">COUNTIFS('Dados tratados'!$B$2:$B$59,B25,'Dados tratados'!$Q$2:$Q$59,"&gt;"&amp;0.4)</f>
        <v>1</v>
      </c>
      <c r="G25" s="26" t="str">
        <f aca="false">IF(E25=MAX($E$22:$E$27),"Ano mais pesado",IF(E25=MIN($E$22:$E$27),"Ano mais leve",""))</f>
        <v/>
      </c>
    </row>
    <row r="26" customFormat="false" ht="15" hidden="false" customHeight="false" outlineLevel="0" collapsed="false">
      <c r="B26" s="27" t="n">
        <v>2025</v>
      </c>
      <c r="C26" s="28" t="n">
        <f aca="false">COUNTIF('Dados tratados'!$B$2:$B$59,B26)</f>
        <v>9</v>
      </c>
      <c r="D26" s="10" t="n">
        <f aca="false">AVERAGEIF('Dados tratados'!$B$2:$B$59,B26,'Dados tratados'!$O$2:$O$59)</f>
        <v>647.475555555556</v>
      </c>
      <c r="E26" s="11" t="n">
        <f aca="false">AVERAGEIF('Dados tratados'!$B$2:$B$59,B26,'Dados tratados'!$Q$2:$Q$59)</f>
        <v>0.426531986531987</v>
      </c>
      <c r="F26" s="28" t="n">
        <f aca="false">COUNTIFS('Dados tratados'!$B$2:$B$59,B26,'Dados tratados'!$Q$2:$Q$59,"&gt;"&amp;0.4)</f>
        <v>9</v>
      </c>
      <c r="G26" s="26" t="str">
        <f aca="false">IF(E26=MAX($E$22:$E$27),"Ano mais pesado",IF(E26=MIN($E$22:$E$27),"Ano mais leve",""))</f>
        <v>Ano mais pesado</v>
      </c>
    </row>
    <row r="27" customFormat="false" ht="15" hidden="false" customHeight="false" outlineLevel="0" collapsed="false">
      <c r="B27" s="27" t="n">
        <v>2026</v>
      </c>
      <c r="C27" s="28" t="n">
        <f aca="false">COUNTIF('Dados tratados'!$B$2:$B$59,B27)</f>
        <v>9</v>
      </c>
      <c r="D27" s="10" t="n">
        <f aca="false">AVERAGEIF('Dados tratados'!$B$2:$B$59,B27,'Dados tratados'!$O$2:$O$59)</f>
        <v>649.63</v>
      </c>
      <c r="E27" s="11" t="n">
        <f aca="false">AVERAGEIF('Dados tratados'!$B$2:$B$59,B27,'Dados tratados'!$Q$2:$Q$59)</f>
        <v>0.400758790869833</v>
      </c>
      <c r="F27" s="28" t="n">
        <f aca="false">COUNTIFS('Dados tratados'!$B$2:$B$59,B27,'Dados tratados'!$Q$2:$Q$59,"&gt;"&amp;0.4)</f>
        <v>5</v>
      </c>
      <c r="G27" s="26" t="str">
        <f aca="false">IF(E27=MAX($E$22:$E$27),"Ano mais pesado",IF(E27=MIN($E$22:$E$27),"Ano mais leve",""))</f>
        <v/>
      </c>
    </row>
    <row r="28" customFormat="false" ht="15" hidden="false" customHeight="false" outlineLevel="0" collapsed="false">
      <c r="B28" s="27" t="s">
        <v>185</v>
      </c>
      <c r="C28" s="18" t="n">
        <f aca="false">SUM(C22:C27)</f>
        <v>58</v>
      </c>
      <c r="F28" s="18" t="n">
        <f aca="false">SUM(F22:F27)</f>
        <v>26</v>
      </c>
    </row>
    <row r="29" customFormat="false" ht="15" hidden="false" customHeight="false" outlineLevel="0" collapsed="false">
      <c r="B29" s="21" t="s">
        <v>186</v>
      </c>
    </row>
    <row r="31" customFormat="false" ht="15" hidden="false" customHeight="false" outlineLevel="0" collapsed="false">
      <c r="B31" s="14" t="s">
        <v>187</v>
      </c>
      <c r="C31" s="15"/>
      <c r="D31" s="15"/>
      <c r="E31" s="15"/>
      <c r="F31" s="15"/>
      <c r="G31" s="15"/>
    </row>
    <row r="32" customFormat="false" ht="31.5" hidden="false" customHeight="true" outlineLevel="0" collapsed="false">
      <c r="B32" s="6" t="s">
        <v>188</v>
      </c>
      <c r="C32" s="6" t="s">
        <v>189</v>
      </c>
      <c r="D32" s="6" t="s">
        <v>190</v>
      </c>
      <c r="E32" s="6" t="s">
        <v>176</v>
      </c>
      <c r="F32" s="6" t="s">
        <v>191</v>
      </c>
    </row>
    <row r="33" customFormat="false" ht="15" hidden="false" customHeight="false" outlineLevel="0" collapsed="false">
      <c r="B33" s="25" t="s">
        <v>192</v>
      </c>
      <c r="C33" s="9" t="n">
        <f aca="false">VLOOKUP($C$13,'Dados tratados'!$A$2:$Q$59,10,FALSE())</f>
        <v>16.32</v>
      </c>
      <c r="D33" s="9" t="n">
        <f aca="false">VLOOKUP($D$13,'Dados tratados'!$A$2:$Q$59,10,FALSE())</f>
        <v>54.37</v>
      </c>
      <c r="E33" s="29" t="n">
        <f aca="false">D33/C33-1</f>
        <v>2.33149509803922</v>
      </c>
      <c r="F33" s="30" t="str">
        <f aca="false">IF(E33&gt;$E$15,"subiu mais que o salário","subiu menos que o salário")</f>
        <v>subiu mais que o salário</v>
      </c>
    </row>
    <row r="34" customFormat="false" ht="15" hidden="false" customHeight="false" outlineLevel="0" collapsed="false">
      <c r="B34" s="25" t="s">
        <v>14</v>
      </c>
      <c r="C34" s="9" t="n">
        <f aca="false">VLOOKUP($C$13,'Dados tratados'!$A$2:$Q$59,14,FALSE())</f>
        <v>23.15</v>
      </c>
      <c r="D34" s="9" t="n">
        <f aca="false">VLOOKUP($D$13,'Dados tratados'!$A$2:$Q$59,14,FALSE())</f>
        <v>61.93</v>
      </c>
      <c r="E34" s="29" t="n">
        <f aca="false">D34/C34-1</f>
        <v>1.67516198704104</v>
      </c>
      <c r="F34" s="30" t="str">
        <f aca="false">IF(E34&gt;$E$15,"subiu mais que o salário","subiu menos que o salário")</f>
        <v>subiu mais que o salário</v>
      </c>
    </row>
    <row r="35" customFormat="false" ht="15" hidden="false" customHeight="false" outlineLevel="0" collapsed="false">
      <c r="B35" s="25" t="s">
        <v>193</v>
      </c>
      <c r="C35" s="9" t="n">
        <f aca="false">VLOOKUP($C$13,'Dados tratados'!$A$2:$Q$59,9,FALSE())</f>
        <v>7.79</v>
      </c>
      <c r="D35" s="9" t="n">
        <f aca="false">VLOOKUP($D$13,'Dados tratados'!$A$2:$Q$59,9,FALSE())</f>
        <v>19.45</v>
      </c>
      <c r="E35" s="29" t="n">
        <f aca="false">D35/C35-1</f>
        <v>1.49679075738126</v>
      </c>
      <c r="F35" s="30" t="str">
        <f aca="false">IF(E35&gt;$E$15,"subiu mais que o salário","subiu menos que o salário")</f>
        <v>subiu mais que o salário</v>
      </c>
    </row>
    <row r="36" customFormat="false" ht="15" hidden="false" customHeight="false" outlineLevel="0" collapsed="false">
      <c r="B36" s="17" t="s">
        <v>194</v>
      </c>
      <c r="C36" s="9" t="n">
        <f aca="false">VLOOKUP($C$13,'Dados tratados'!$A$2:$Q$59,13,FALSE())</f>
        <v>3.71</v>
      </c>
      <c r="D36" s="9" t="n">
        <f aca="false">VLOOKUP($D$13,'Dados tratados'!$A$2:$Q$59,13,FALSE())</f>
        <v>8.69</v>
      </c>
      <c r="E36" s="29" t="n">
        <f aca="false">D36/C36-1</f>
        <v>1.34231805929919</v>
      </c>
      <c r="F36" s="30" t="str">
        <f aca="false">IF(E36&gt;$E$15,"subiu mais que o salário","subiu menos que o salário")</f>
        <v>subiu mais que o salário</v>
      </c>
    </row>
    <row r="37" customFormat="false" ht="15" hidden="false" customHeight="false" outlineLevel="0" collapsed="false">
      <c r="B37" s="17" t="s">
        <v>195</v>
      </c>
      <c r="C37" s="9" t="n">
        <f aca="false">VLOOKUP($C$13,'Dados tratados'!$A$2:$Q$59,7,FALSE())</f>
        <v>3.81</v>
      </c>
      <c r="D37" s="9" t="n">
        <f aca="false">VLOOKUP($D$13,'Dados tratados'!$A$2:$Q$59,7,FALSE())</f>
        <v>8.73</v>
      </c>
      <c r="E37" s="29" t="n">
        <f aca="false">D37/C37-1</f>
        <v>1.29133858267717</v>
      </c>
      <c r="F37" s="30" t="str">
        <f aca="false">IF(E37&gt;$E$15,"subiu mais que o salário","subiu menos que o salário")</f>
        <v>subiu mais que o salário</v>
      </c>
    </row>
    <row r="38" customFormat="false" ht="15" hidden="false" customHeight="false" outlineLevel="0" collapsed="false">
      <c r="B38" s="17" t="s">
        <v>196</v>
      </c>
      <c r="C38" s="9" t="n">
        <f aca="false">VLOOKUP($C$13,'Dados tratados'!$A$2:$Q$59,3,FALSE())</f>
        <v>20.84</v>
      </c>
      <c r="D38" s="9" t="n">
        <f aca="false">VLOOKUP($D$13,'Dados tratados'!$A$2:$Q$59,3,FALSE())</f>
        <v>45.36</v>
      </c>
      <c r="E38" s="29" t="n">
        <f aca="false">D38/C38-1</f>
        <v>1.17658349328215</v>
      </c>
      <c r="F38" s="30" t="str">
        <f aca="false">IF(E38&gt;$E$15,"subiu mais que o salário","subiu menos que o salário")</f>
        <v>subiu mais que o salário</v>
      </c>
    </row>
    <row r="39" customFormat="false" ht="15" hidden="false" customHeight="false" outlineLevel="0" collapsed="false">
      <c r="B39" s="17" t="s">
        <v>197</v>
      </c>
      <c r="C39" s="9" t="n">
        <f aca="false">VLOOKUP($C$13,'Dados tratados'!$A$2:$Q$59,4,FALSE())</f>
        <v>3.34</v>
      </c>
      <c r="D39" s="9" t="n">
        <f aca="false">VLOOKUP($D$13,'Dados tratados'!$A$2:$Q$59,4,FALSE())</f>
        <v>6.78</v>
      </c>
      <c r="E39" s="29" t="n">
        <f aca="false">D39/C39-1</f>
        <v>1.02994011976048</v>
      </c>
      <c r="F39" s="30" t="str">
        <f aca="false">IF(E39&gt;$E$15,"subiu mais que o salário","subiu menos que o salário")</f>
        <v>subiu mais que o salário</v>
      </c>
    </row>
    <row r="40" customFormat="false" ht="15" hidden="false" customHeight="false" outlineLevel="0" collapsed="false">
      <c r="B40" s="17" t="s">
        <v>11</v>
      </c>
      <c r="C40" s="9" t="n">
        <f aca="false">VLOOKUP($C$13,'Dados tratados'!$A$2:$Q$59,11,FALSE())</f>
        <v>4.38</v>
      </c>
      <c r="D40" s="9" t="n">
        <f aca="false">VLOOKUP($D$13,'Dados tratados'!$A$2:$Q$59,11,FALSE())</f>
        <v>8.71</v>
      </c>
      <c r="E40" s="29" t="n">
        <f aca="false">D40/C40-1</f>
        <v>0.988584474885845</v>
      </c>
      <c r="F40" s="30" t="str">
        <f aca="false">IF(E40&gt;$E$15,"subiu mais que o salário","subiu menos que o salário")</f>
        <v>subiu mais que o salário</v>
      </c>
    </row>
    <row r="41" customFormat="false" ht="15" hidden="false" customHeight="false" outlineLevel="0" collapsed="false">
      <c r="B41" s="17" t="s">
        <v>198</v>
      </c>
      <c r="C41" s="9" t="n">
        <f aca="false">VLOOKUP($C$13,'Dados tratados'!$A$2:$Q$59,6,FALSE())</f>
        <v>3.02</v>
      </c>
      <c r="D41" s="9" t="n">
        <f aca="false">VLOOKUP($D$13,'Dados tratados'!$A$2:$Q$59,6,FALSE())</f>
        <v>5.1</v>
      </c>
      <c r="E41" s="29" t="n">
        <f aca="false">D41/C41-1</f>
        <v>0.688741721854305</v>
      </c>
      <c r="F41" s="30" t="str">
        <f aca="false">IF(E41&gt;$E$15,"subiu mais que o salário","subiu menos que o salário")</f>
        <v>subiu menos que o salário</v>
      </c>
    </row>
    <row r="42" customFormat="false" ht="15" hidden="false" customHeight="false" outlineLevel="0" collapsed="false">
      <c r="B42" s="17" t="s">
        <v>199</v>
      </c>
      <c r="C42" s="9" t="n">
        <f aca="false">VLOOKUP($C$13,'Dados tratados'!$A$2:$Q$59,5,FALSE())</f>
        <v>5.59</v>
      </c>
      <c r="D42" s="9" t="n">
        <f aca="false">VLOOKUP($D$13,'Dados tratados'!$A$2:$Q$59,5,FALSE())</f>
        <v>8.97</v>
      </c>
      <c r="E42" s="29" t="n">
        <f aca="false">D42/C42-1</f>
        <v>0.604651162790698</v>
      </c>
      <c r="F42" s="30" t="str">
        <f aca="false">IF(E42&gt;$E$15,"subiu mais que o salário","subiu menos que o salário")</f>
        <v>subiu menos que o salário</v>
      </c>
    </row>
    <row r="43" customFormat="false" ht="15" hidden="false" customHeight="false" outlineLevel="0" collapsed="false">
      <c r="B43" s="17" t="s">
        <v>8</v>
      </c>
      <c r="C43" s="9" t="n">
        <f aca="false">VLOOKUP($C$13,'Dados tratados'!$A$2:$Q$59,8,FALSE())</f>
        <v>6.28</v>
      </c>
      <c r="D43" s="9" t="n">
        <f aca="false">VLOOKUP($D$13,'Dados tratados'!$A$2:$Q$59,8,FALSE())</f>
        <v>8.24</v>
      </c>
      <c r="E43" s="29" t="n">
        <f aca="false">D43/C43-1</f>
        <v>0.312101910828025</v>
      </c>
      <c r="F43" s="30" t="str">
        <f aca="false">IF(E43&gt;$E$15,"subiu mais que o salário","subiu menos que o salário")</f>
        <v>subiu menos que o salário</v>
      </c>
    </row>
    <row r="44" customFormat="false" ht="15" hidden="false" customHeight="false" outlineLevel="0" collapsed="false">
      <c r="B44" s="17" t="s">
        <v>200</v>
      </c>
      <c r="C44" s="9" t="n">
        <f aca="false">VLOOKUP($C$13,'Dados tratados'!$A$2:$Q$59,12,FALSE())</f>
        <v>2.99</v>
      </c>
      <c r="D44" s="9" t="n">
        <f aca="false">VLOOKUP($D$13,'Dados tratados'!$A$2:$Q$59,12,FALSE())</f>
        <v>3.62</v>
      </c>
      <c r="E44" s="29" t="n">
        <f aca="false">D44/C44-1</f>
        <v>0.210702341137124</v>
      </c>
      <c r="F44" s="30" t="str">
        <f aca="false">IF(E44&gt;$E$15,"subiu mais que o salário","subiu menos que o salário")</f>
        <v>subiu menos que o salário</v>
      </c>
    </row>
    <row r="47" customFormat="false" ht="15" hidden="false" customHeight="false" outlineLevel="0" collapsed="false">
      <c r="B47" s="14" t="s">
        <v>201</v>
      </c>
      <c r="C47" s="15"/>
      <c r="D47" s="15"/>
      <c r="E47" s="15"/>
      <c r="F47" s="15"/>
      <c r="G47" s="15"/>
    </row>
    <row r="48" customFormat="false" ht="31.5" hidden="false" customHeight="true" outlineLevel="0" collapsed="false">
      <c r="B48" s="6" t="s">
        <v>175</v>
      </c>
      <c r="C48" s="6" t="s">
        <v>202</v>
      </c>
      <c r="D48" s="6" t="s">
        <v>147</v>
      </c>
    </row>
    <row r="49" customFormat="false" ht="15" hidden="false" customHeight="false" outlineLevel="0" collapsed="false">
      <c r="B49" s="17" t="s">
        <v>203</v>
      </c>
      <c r="C49" s="10" t="n">
        <f aca="false">MAX('Dados tratados'!$O$2:$O$59)</f>
        <v>692.94</v>
      </c>
      <c r="D49" s="7" t="n">
        <f aca="false">INDEX('Dados tratados'!$A$2:$A$59,MATCH(C49,'Dados tratados'!$O$2:$O$59,0))</f>
        <v>46266</v>
      </c>
    </row>
    <row r="50" customFormat="false" ht="15" hidden="false" customHeight="false" outlineLevel="0" collapsed="false">
      <c r="B50" s="17" t="s">
        <v>204</v>
      </c>
      <c r="C50" s="10" t="n">
        <f aca="false">MIN('Dados tratados'!$O$2:$O$59)</f>
        <v>324.04</v>
      </c>
      <c r="D50" s="7" t="n">
        <f aca="false">INDEX('Dados tratados'!$A$2:$A$59,MATCH(C50,'Dados tratados'!$O$2:$O$59,0))</f>
        <v>43344</v>
      </c>
    </row>
    <row r="51" customFormat="false" ht="15" hidden="false" customHeight="false" outlineLevel="0" collapsed="false">
      <c r="B51" s="17" t="s">
        <v>205</v>
      </c>
      <c r="C51" s="11" t="n">
        <f aca="false">MAX('Dados tratados'!$Q$2:$Q$59)</f>
        <v>0.442536231884058</v>
      </c>
      <c r="D51" s="7" t="n">
        <f aca="false">INDEX('Dados tratados'!$A$2:$A$59,MATCH(C51,'Dados tratados'!$Q$2:$Q$59,0))</f>
        <v>45748</v>
      </c>
    </row>
    <row r="52" customFormat="false" ht="15" hidden="false" customHeight="false" outlineLevel="0" collapsed="false">
      <c r="B52" s="17" t="s">
        <v>206</v>
      </c>
      <c r="C52" s="11" t="n">
        <f aca="false">MIN('Dados tratados'!$Q$2:$Q$59)</f>
        <v>0.339664570230608</v>
      </c>
      <c r="D52" s="7" t="n">
        <f aca="false">INDEX('Dados tratados'!$A$2:$A$59,MATCH(C52,'Dados tratados'!$Q$2:$Q$59,0))</f>
        <v>43344</v>
      </c>
    </row>
    <row r="53" customFormat="false" ht="15" hidden="false" customHeight="false" outlineLevel="0" collapsed="false">
      <c r="B53" s="17" t="s">
        <v>207</v>
      </c>
      <c r="C53" s="10" t="n">
        <f aca="false">AVERAGE('Dados tratados'!$O$2:$O$59)</f>
        <v>448.530862068966</v>
      </c>
    </row>
  </sheetData>
  <conditionalFormatting sqref="D22:D27">
    <cfRule type="colorScale" priority="2">
      <colorScale>
        <cfvo type="min" val="0"/>
        <cfvo type="max" val="0"/>
        <color rgb="FFFFFFFF"/>
        <color rgb="FFF6B26B"/>
      </colorScale>
    </cfRule>
  </conditionalFormatting>
  <conditionalFormatting sqref="E22:E27">
    <cfRule type="colorScale" priority="3">
      <colorScale>
        <cfvo type="min" val="0"/>
        <cfvo type="max" val="0"/>
        <color rgb="FFFFFFFF"/>
        <color rgb="FFF6B26B"/>
      </colorScale>
    </cfRule>
  </conditionalFormatting>
  <conditionalFormatting sqref="E33:F44">
    <cfRule type="expression" priority="4" aboveAverage="0" equalAverage="0" bottom="0" percent="0" rank="0" text="" dxfId="43">
      <formula>$E33&gt;$E$15</formula>
    </cfRule>
    <cfRule type="expression" priority="5" aboveAverage="0" equalAverage="0" bottom="0" percent="0" rank="0" text="" dxfId="44">
      <formula>$E33&lt;=$E$15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2026-10-23T12:05:00Z</dcterms:created>
  <dc:creator>openpyxl</dc:creator>
  <dc:description/>
  <dc:language>en-US</dc:language>
  <cp:lastModifiedBy/>
  <dcterms:modified xsi:type="dcterms:W3CDTF">2026-10-23T09:05:03Z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